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agleV-Fire_BOM" sheetId="1" state="visible" r:id="rId2"/>
    <sheet name="Payload_BOM" sheetId="2" state="visible" r:id="rId3"/>
    <sheet name="Power Budget" sheetId="3" state="visible" r:id="rId4"/>
    <sheet name="OEM719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8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ESPECIFICAÇÕES
</t>
        </r>
      </text>
    </comment>
    <comment ref="A15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ESPECIFICAÇÕES
</t>
        </r>
      </text>
    </comment>
    <comment ref="A22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COMPONENTE
</t>
        </r>
      </text>
    </comment>
    <comment ref="A27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ESPECIFICAÇÕES
</t>
        </r>
      </text>
    </comment>
    <comment ref="A28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ESPECIFICAÇÕES
</t>
        </r>
      </text>
    </comment>
  </commentList>
</comments>
</file>

<file path=xl/sharedStrings.xml><?xml version="1.0" encoding="utf-8"?>
<sst xmlns="http://schemas.openxmlformats.org/spreadsheetml/2006/main" count="609" uniqueCount="461">
  <si>
    <t xml:space="preserve">SKU</t>
  </si>
  <si>
    <t xml:space="preserve">Description</t>
  </si>
  <si>
    <t xml:space="preserve">Manufacturer</t>
  </si>
  <si>
    <t xml:space="preserve">MPN</t>
  </si>
  <si>
    <t xml:space="preserve">Location</t>
  </si>
  <si>
    <t xml:space="preserve">Qty</t>
  </si>
  <si>
    <t xml:space="preserve">Coluna 1</t>
  </si>
  <si>
    <t xml:space="preserve">BeagleV - Fire</t>
  </si>
  <si>
    <t xml:space="preserve">PCBA; BeagleV-Fire</t>
  </si>
  <si>
    <t xml:space="preserve">SMD RES 0R-5%-1/16W;0402</t>
  </si>
  <si>
    <t xml:space="preserve">YAGEO</t>
  </si>
  <si>
    <t xml:space="preserve">RC0402JR-070RL</t>
  </si>
  <si>
    <t xml:space="preserve">R51,R53,R66,R67,R69,R102,R151,R182,R186,R220,R221,R234,R235,R254,R262,R264,R265,R273</t>
  </si>
  <si>
    <t xml:space="preserve">SMD RES 33R-5%-1/16W;0402</t>
  </si>
  <si>
    <t xml:space="preserve">RC0402JR-0733RL</t>
  </si>
  <si>
    <t xml:space="preserve">R159,R214</t>
  </si>
  <si>
    <t xml:space="preserve">SMD RES 1M-1%-1/16W;0402</t>
  </si>
  <si>
    <t xml:space="preserve">RC0402FR-071ML</t>
  </si>
  <si>
    <t xml:space="preserve">R52,R226,R274,R275,R276,R277,R278,R279</t>
  </si>
  <si>
    <t xml:space="preserve">SMD RES 1K-1%-1/16W;0402</t>
  </si>
  <si>
    <t xml:space="preserve">RC0402FR-071KL</t>
  </si>
  <si>
    <t xml:space="preserve">R15,R17,R49,R94,R95,R110,R111,R112,R113,R114,R115,R116,R120,R122,R123,R124,R125,R126,R127,R128,R129,R130,R131,R132,R133,R134,R135,R136,R137,R282</t>
  </si>
  <si>
    <t xml:space="preserve">SMD RES 10K-1%-1/16W;0402</t>
  </si>
  <si>
    <t xml:space="preserve">RC0402FR-0710KL</t>
  </si>
  <si>
    <t xml:space="preserve">R2,R12,R13,R14,R16,R22,R23,R24,R25,R26,R27,R28,R54,R55,R56,R57,R58,R59,R60,R61,R62,R63,R99,R100,R101,R139,R150,R152,R153,R156,R161,R162,R168,R209,R210,R212,R213,R244,R245,R246,R247,R248,R255,R281</t>
  </si>
  <si>
    <t xml:space="preserve">SMD RES 510R-5%-1/16W;0402</t>
  </si>
  <si>
    <t xml:space="preserve">RC0402JR-07510RL</t>
  </si>
  <si>
    <t xml:space="preserve">R232,R233</t>
  </si>
  <si>
    <t xml:space="preserve">SMD RES 51K-1%-1/10W;0402</t>
  </si>
  <si>
    <t xml:space="preserve">Panasonic</t>
  </si>
  <si>
    <t xml:space="preserve">ERJ-2RKF5102X</t>
  </si>
  <si>
    <t xml:space="preserve">R285</t>
  </si>
  <si>
    <t xml:space="preserve">SMD RES 22R-1%-1/16W;0402</t>
  </si>
  <si>
    <t xml:space="preserve">RC0402FR-0722RL</t>
  </si>
  <si>
    <t xml:space="preserve">R18,R19,R20,R21</t>
  </si>
  <si>
    <t xml:space="preserve">SMD RES 20K-1%-1/16W;0402</t>
  </si>
  <si>
    <t xml:space="preserve">RC0402FR-0720KL</t>
  </si>
  <si>
    <t xml:space="preserve">R117</t>
  </si>
  <si>
    <t xml:space="preserve">SMD RES 200K-1%-1/16W;0402</t>
  </si>
  <si>
    <t xml:space="preserve">RC0402FR-07200KL</t>
  </si>
  <si>
    <t xml:space="preserve">R251</t>
  </si>
  <si>
    <t xml:space="preserve">SMD RES 1M-1%-1/4W;1206</t>
  </si>
  <si>
    <t xml:space="preserve">RC1206FR-071ML</t>
  </si>
  <si>
    <t xml:space="preserve">R32</t>
  </si>
  <si>
    <t xml:space="preserve">SMD RES 10R-1%-1/16W;0402</t>
  </si>
  <si>
    <t xml:space="preserve">RC0402FR-0710RL</t>
  </si>
  <si>
    <t xml:space="preserve">R72,R73,R74,R75,R76,R77,R143,R144,R147</t>
  </si>
  <si>
    <t xml:space="preserve">SMD RES 100K-1%-1/16W;0402</t>
  </si>
  <si>
    <t xml:space="preserve">RC0402FR-07100KL</t>
  </si>
  <si>
    <t xml:space="preserve">R138,R227,R252,R253,R283,R284</t>
  </si>
  <si>
    <t xml:space="preserve">SMD RES 49.9K-1%-1/16W;0402</t>
  </si>
  <si>
    <t xml:space="preserve">RC0402FR-0749K9L</t>
  </si>
  <si>
    <t xml:space="preserve">R1,R4,R5,R6,R7,R8,R9,R10,R11,R71,R88,R92,R93,R96,R97,R103,R140,R141,R154,R171</t>
  </si>
  <si>
    <t xml:space="preserve">SMD RES 100R-±1%-1/20W;0201</t>
  </si>
  <si>
    <t xml:space="preserve">RC0201FR-07100RL</t>
  </si>
  <si>
    <t xml:space="preserve">R266,R267,R268,R269,R270,R271,R272</t>
  </si>
  <si>
    <t xml:space="preserve">SMD RES 0R-±1%-1/20W;0201</t>
  </si>
  <si>
    <t xml:space="preserve">RC0201FR-070RL</t>
  </si>
  <si>
    <t xml:space="preserve">R37,R38,R105,R106,R173,R174</t>
  </si>
  <si>
    <t xml:space="preserve">colocar simbolo e footprint</t>
  </si>
  <si>
    <t xml:space="preserve">SMD RES 1.5K-1%-1/16W;0402</t>
  </si>
  <si>
    <t xml:space="preserve">RC0402FR-071K5L</t>
  </si>
  <si>
    <t xml:space="preserve">R219</t>
  </si>
  <si>
    <t xml:space="preserve">SMD RES;4.7K-1%-1/16W-0402</t>
  </si>
  <si>
    <t xml:space="preserve">RC0402FR-074K7L</t>
  </si>
  <si>
    <t xml:space="preserve">R176,R177,R178,R187,R191,R192,R215,R216,R217,R218,R222,R223</t>
  </si>
  <si>
    <t xml:space="preserve">SMD RES 2.7K-1%-1/16W;0402</t>
  </si>
  <si>
    <t xml:space="preserve">RC0402FR-072K7L</t>
  </si>
  <si>
    <t xml:space="preserve">R280</t>
  </si>
  <si>
    <t xml:space="preserve">SMD RES 15K-1/16W-1%;0402</t>
  </si>
  <si>
    <t xml:space="preserve">RC0402FR-0715KL</t>
  </si>
  <si>
    <t xml:space="preserve">R107</t>
  </si>
  <si>
    <t xml:space="preserve">SMD RES 2.2K-1%-1/16W;0402</t>
  </si>
  <si>
    <t xml:space="preserve">RC0402FR-072K2L</t>
  </si>
  <si>
    <t xml:space="preserve">R39,R108,R109,R155,R249,R250</t>
  </si>
  <si>
    <t xml:space="preserve">SMD RES 82K-1%-1/16W;0402</t>
  </si>
  <si>
    <t xml:space="preserve">RC0402FR-0782KL</t>
  </si>
  <si>
    <t xml:space="preserve">R148</t>
  </si>
  <si>
    <t xml:space="preserve">SMD RES 2.49K-1%-1/16W;0402</t>
  </si>
  <si>
    <t xml:space="preserve">RC0402FR-072K49L</t>
  </si>
  <si>
    <t xml:space="preserve">R118,R175</t>
  </si>
  <si>
    <t xml:space="preserve">SMD RES 124K-1%-1/16W;0402</t>
  </si>
  <si>
    <t xml:space="preserve">RC0402FR-07124KL</t>
  </si>
  <si>
    <t xml:space="preserve">R146</t>
  </si>
  <si>
    <t xml:space="preserve">SMD RES 8.06K-1%-1/16W;0402</t>
  </si>
  <si>
    <t xml:space="preserve">RC0402FR-078K06L</t>
  </si>
  <si>
    <t xml:space="preserve">R64</t>
  </si>
  <si>
    <t xml:space="preserve">SMD RES 240K-1/16W-1%;0402</t>
  </si>
  <si>
    <t xml:space="preserve">RC0402FR-07240KL</t>
  </si>
  <si>
    <t xml:space="preserve">R145</t>
  </si>
  <si>
    <t xml:space="preserve">SMD RES 432K-1%-1/16W;0402</t>
  </si>
  <si>
    <t xml:space="preserve">RC0402FR-07432KL</t>
  </si>
  <si>
    <t xml:space="preserve">R121</t>
  </si>
  <si>
    <t xml:space="preserve">SMD RES 1.1K-1%-1/16W;0402</t>
  </si>
  <si>
    <t xml:space="preserve">RC0402FR-071K1L</t>
  </si>
  <si>
    <t xml:space="preserve">R119</t>
  </si>
  <si>
    <t xml:space="preserve">SMD RES 240R-1%-1/16W;0402</t>
  </si>
  <si>
    <t xml:space="preserve">RC0402FR-07240RL</t>
  </si>
  <si>
    <t xml:space="preserve">R3</t>
  </si>
  <si>
    <t xml:space="preserve">SMD RES 27R-1%-1/16W;0402</t>
  </si>
  <si>
    <t xml:space="preserve">RC0402FR-0727RL</t>
  </si>
  <si>
    <t xml:space="preserve">R48</t>
  </si>
  <si>
    <t xml:space="preserve">SMD RES 105K-1%-1/16W;0402</t>
  </si>
  <si>
    <t xml:space="preserve">RC0402FR-07105KL</t>
  </si>
  <si>
    <t xml:space="preserve">R149</t>
  </si>
  <si>
    <t xml:space="preserve">SMD CAP Ceramic 33pF-50V-5%-NPO;0402</t>
  </si>
  <si>
    <t xml:space="preserve">CC0402JRNPO9BN330</t>
  </si>
  <si>
    <t xml:space="preserve">C27,C210,C214,C220</t>
  </si>
  <si>
    <t xml:space="preserve">SMD CAP Ceramic 100nF-16V-10%-X7R;0402</t>
  </si>
  <si>
    <t xml:space="preserve">CC0402KRX7R7BB104</t>
  </si>
  <si>
    <t xml:space="preserve">C63,C64,C65,C66,C67,C68,C69,C70,C71,C74,C75,C81,C82,C90,C93,C98,C106,C107,C109,C112,C114,C117,C120,C121,C127,C128,C134,C136,C138,C189,C201,C216,C223,C269,C281,C283,C284,C285,C287,C288,C290,C292,C298,C313,C323,C325</t>
  </si>
  <si>
    <t xml:space="preserve">SMD CAP Ceramic 10nF-50V-10%-X7R;0402</t>
  </si>
  <si>
    <t xml:space="preserve">CC0402KRX7R9BB103</t>
  </si>
  <si>
    <t xml:space="preserve">C209</t>
  </si>
  <si>
    <t xml:space="preserve">SMD CAP Ceramic 470pF-50V-10%-X7R;0402</t>
  </si>
  <si>
    <t xml:space="preserve">CC0402KRX7R9BB471</t>
  </si>
  <si>
    <t xml:space="preserve">C211</t>
  </si>
  <si>
    <t xml:space="preserve">SMD CAP Ceramic 100pF-50V-5%-NPO;0402</t>
  </si>
  <si>
    <t xml:space="preserve">CC0402JRNPO9BN101</t>
  </si>
  <si>
    <t xml:space="preserve">C207,C208,C226,C327,C328</t>
  </si>
  <si>
    <t xml:space="preserve">SMD CAP Ceramic 18pF-50V-5%-NPO;0402</t>
  </si>
  <si>
    <t xml:space="preserve">CC0402JRNPO9BN180</t>
  </si>
  <si>
    <t xml:space="preserve">C104,C105,C321,C322</t>
  </si>
  <si>
    <t xml:space="preserve">SMD CAP Ceramic 100nF-25V-10%-X7R;0402</t>
  </si>
  <si>
    <t xml:space="preserve">CC0402KRX7R8BB104</t>
  </si>
  <si>
    <t xml:space="preserve">C273,C274,C301,C302,C303,C304,C305,C306,C307,C308,C309,C310</t>
  </si>
  <si>
    <t xml:space="preserve">SMD CAP Ceramic 27pF-50V-5%-NPO;0402</t>
  </si>
  <si>
    <t xml:space="preserve">CC0402JRNPO9BN270</t>
  </si>
  <si>
    <t xml:space="preserve">C95,C96</t>
  </si>
  <si>
    <t xml:space="preserve">SMD CAP Ceramic 2.2nF-25V-10%-X7R;0402</t>
  </si>
  <si>
    <t xml:space="preserve">CC0402KRX7R8BB222</t>
  </si>
  <si>
    <t xml:space="preserve">C217,C218,C225</t>
  </si>
  <si>
    <t xml:space="preserve">SMD CAP Ceramic 1uF-10V-10%-X5R;0402</t>
  </si>
  <si>
    <t xml:space="preserve">CC0402KRX5R6BB105</t>
  </si>
  <si>
    <t xml:space="preserve">C77,C110,C111,C196,C197,C198,C199,C202,C215,C224</t>
  </si>
  <si>
    <t xml:space="preserve">SMD CAP Ceramic 2.2uF-10V-10%-X7R;0603</t>
  </si>
  <si>
    <t xml:space="preserve">CC0603KRX7R6BB225</t>
  </si>
  <si>
    <t xml:space="preserve">C115</t>
  </si>
  <si>
    <t xml:space="preserve">SMD CAP Ceramic 10uF-10V-10%-X5R;0603</t>
  </si>
  <si>
    <t xml:space="preserve">CC0603KRX5R6BB106</t>
  </si>
  <si>
    <t xml:space="preserve">C58,C59,C60,C61,C62,C119,C129,C135,C139,C185,C188,C193,C238,C242,C245,C248,C251,C318,C319,C320</t>
  </si>
  <si>
    <t xml:space="preserve">SMD CAP Ceramic 4.7uF-10V-10%-X5R;0603</t>
  </si>
  <si>
    <t xml:space="preserve">CC0603KRX5R6BB475</t>
  </si>
  <si>
    <t xml:space="preserve">C72,C73,C280,C282,C289,C291,C324</t>
  </si>
  <si>
    <t xml:space="preserve">SMD CAP Ceramic 4.7uF-25V-10%-X5R;0805</t>
  </si>
  <si>
    <t xml:space="preserve">CC0805KKX5R8BB475</t>
  </si>
  <si>
    <t xml:space="preserve">C1,C203,C219,C312</t>
  </si>
  <si>
    <t xml:space="preserve">SMD CAP Ceramic 47uF-6.3V-20%-X5R;0805</t>
  </si>
  <si>
    <t xml:space="preserve">CC0805MKX5R5BB476</t>
  </si>
  <si>
    <t xml:space="preserve">C146,C147,C157,C168,C169,C172,C178,C183,C194,C195,C230,C236,C259</t>
  </si>
  <si>
    <t xml:space="preserve">SMD CAP Ceramic 22uF-25V-20%-X5R;0805</t>
  </si>
  <si>
    <t xml:space="preserve">CC0805MKX5R8BB226</t>
  </si>
  <si>
    <t xml:space="preserve">C113,C116,C190,C191,C192,C200,C204,C205,C221,C222,C314</t>
  </si>
  <si>
    <t xml:space="preserve">SMD CAP Ceramic;1uF-6.3V-±20%-X5R;0201</t>
  </si>
  <si>
    <t xml:space="preserve">CC0201MRX5R5BB105</t>
  </si>
  <si>
    <t xml:space="preserve">C154,C155,C156</t>
  </si>
  <si>
    <t xml:space="preserve">SMD CAP Ceramic 100nF-10V-10%-X5R;0201</t>
  </si>
  <si>
    <t xml:space="preserve">CC0201KRX5R6BB104</t>
  </si>
  <si>
    <t xml:space="preserve">C2,C3,C4,C5,C6,C7,C8,C9,C10,C11,C12,C13,C14,C15,C16,C17,C18,C19,C20,C21,C22,C23,C24,C25,C26,C28,C29,C30,C31,C32,C33,C34,C35,C36,C37,C38,C39,C40,C41,C42,C43,C44,C45,C46,C48,C49,C50,C51,C52,C53,C54,C55,C56,C57,C85,C86,C87,C88,C132,C133,C144,C145,C151,C152,C153,C167,C171,C176,C177,C180,C184,C187,C206,C228,C229,C234,C235,C237,C239,C240,C241,C243,C244,C246,C247,C249,C250,C252,C257,C258,C260</t>
  </si>
  <si>
    <t xml:space="preserve">SMD CAP Ceramic 1nF-16V-10%-X7R;0201</t>
  </si>
  <si>
    <t xml:space="preserve">CC0201KRX7R7BB102</t>
  </si>
  <si>
    <t xml:space="preserve">C170,C173,C179,C186,C231,C232,C253</t>
  </si>
  <si>
    <t xml:space="preserve">SMD CAP Ceramic 1nF-50V-5%-X7R;0402</t>
  </si>
  <si>
    <t xml:space="preserve">CC0402JRX7R9BB102</t>
  </si>
  <si>
    <t xml:space="preserve">C91,C212,C213,C270</t>
  </si>
  <si>
    <t xml:space="preserve">SMD CAP Ceramic;47nF-6.3V-10%-X5R;0201</t>
  </si>
  <si>
    <t xml:space="preserve">CC0201KRX5R5BB473</t>
  </si>
  <si>
    <t xml:space="preserve">C148,C149,C150</t>
  </si>
  <si>
    <t xml:space="preserve">SMD CAP 2.2nF-10V-10%-X7R;0201</t>
  </si>
  <si>
    <t xml:space="preserve">CC0201KRX7R6BB222</t>
  </si>
  <si>
    <t xml:space="preserve">C140,C141</t>
  </si>
  <si>
    <t xml:space="preserve">SMD CAP Ceramic 3.3nF-25V-10%-X7R;0201</t>
  </si>
  <si>
    <t xml:space="preserve">Murata</t>
  </si>
  <si>
    <t xml:space="preserve">GRM033R71E332KA12D</t>
  </si>
  <si>
    <t xml:space="preserve">C254</t>
  </si>
  <si>
    <t xml:space="preserve">SMD CAP Ceramic 4.7nF-10V-10%-X7R;0201</t>
  </si>
  <si>
    <t xml:space="preserve">CC0201KRX7R6BB472</t>
  </si>
  <si>
    <t xml:space="preserve">C165,C181,C227,C233,C255</t>
  </si>
  <si>
    <t xml:space="preserve">SMD CAP Ceramic;6.8pF-50V-0.25pF-C0G-0402</t>
  </si>
  <si>
    <t xml:space="preserve">GRM1555C1H6R8CA01D</t>
  </si>
  <si>
    <t xml:space="preserve">C311</t>
  </si>
  <si>
    <t xml:space="preserve">SMD CAP Ceramic 100uF-10V-20%-X5R;1206</t>
  </si>
  <si>
    <t xml:space="preserve">TDK</t>
  </si>
  <si>
    <t xml:space="preserve">C3216X5R1A107M160AC</t>
  </si>
  <si>
    <t xml:space="preserve">C108</t>
  </si>
  <si>
    <t xml:space="preserve">SMD CAP Ceramic 10nF-6.3V-10%-X5R;0201</t>
  </si>
  <si>
    <t xml:space="preserve">Yageo</t>
  </si>
  <si>
    <t xml:space="preserve">CC0201KRX5R5BB103</t>
  </si>
  <si>
    <t xml:space="preserve">C142,C143,C160,C161,C162,C163,C164,C166,C174,C175,C182,C256</t>
  </si>
  <si>
    <t xml:space="preserve">SMD CAP Ceramic 1nF-2kV-10%-X7R;1206</t>
  </si>
  <si>
    <t xml:space="preserve">CC1206KKX7RDBB102</t>
  </si>
  <si>
    <t xml:space="preserve">C83</t>
  </si>
  <si>
    <t xml:space="preserve">SMD CAP Tantalum 330uF-2.5V;B</t>
  </si>
  <si>
    <t xml:space="preserve">KEMET</t>
  </si>
  <si>
    <t xml:space="preserve">T520B337M2R5ATE070</t>
  </si>
  <si>
    <t xml:space="preserve">C158,C159</t>
  </si>
  <si>
    <t xml:space="preserve">SMD Inductor 2.2uH-20%-1.3A;2P-2520</t>
  </si>
  <si>
    <t xml:space="preserve">LQM2HPN2R2MG0L</t>
  </si>
  <si>
    <t xml:space="preserve">L5</t>
  </si>
  <si>
    <t xml:space="preserve">SMD Innductor 0.47uH-20%;L2.0*W1.6*H1.0mm</t>
  </si>
  <si>
    <t xml:space="preserve">Sunlord</t>
  </si>
  <si>
    <t xml:space="preserve">WPN201610MR47MT</t>
  </si>
  <si>
    <t xml:space="preserve">L2,L3,L4</t>
  </si>
  <si>
    <t xml:space="preserve">SMD Power Inductor 0.56uH-20%-9.3A;2P-4.4*4.4*1.9MM</t>
  </si>
  <si>
    <t xml:space="preserve">CODACA</t>
  </si>
  <si>
    <t xml:space="preserve">CSHB0421-R56M</t>
  </si>
  <si>
    <t xml:space="preserve">L1</t>
  </si>
  <si>
    <t xml:space="preserve">SMD Inductor 1.0uH-20%-7A;L4.2*W4.4*H2.0mm</t>
  </si>
  <si>
    <t xml:space="preserve">MWSA0402S-1R0MT</t>
  </si>
  <si>
    <t xml:space="preserve">L6</t>
  </si>
  <si>
    <t xml:space="preserve">SMD Ferrite Bead 120R-1.3A;0402</t>
  </si>
  <si>
    <t xml:space="preserve">BLM15PD121SN1D</t>
  </si>
  <si>
    <t xml:space="preserve">FB3,FB4</t>
  </si>
  <si>
    <t xml:space="preserve">SMD Diode Schottky 30V-200mA;SOD-523</t>
  </si>
  <si>
    <t xml:space="preserve">LRC</t>
  </si>
  <si>
    <t xml:space="preserve">LRB520S-30T1G</t>
  </si>
  <si>
    <t xml:space="preserve">D15,D16,D17</t>
  </si>
  <si>
    <t xml:space="preserve">SMD Diode TVS 5V-600W;DO-214AA</t>
  </si>
  <si>
    <t xml:space="preserve">ST</t>
  </si>
  <si>
    <t xml:space="preserve">SMBJ5.0CA-TR</t>
  </si>
  <si>
    <t xml:space="preserve">D8</t>
  </si>
  <si>
    <t xml:space="preserve">SMD Diode TVS 24VWM 29.5V;SMB</t>
  </si>
  <si>
    <t xml:space="preserve">Brightking</t>
  </si>
  <si>
    <t xml:space="preserve">SMBJ24CA(Brightking)</t>
  </si>
  <si>
    <t xml:space="preserve">D25</t>
  </si>
  <si>
    <t xml:space="preserve">SMD Diode ESD 0.05pF;0402</t>
  </si>
  <si>
    <t xml:space="preserve">SEMITEL</t>
  </si>
  <si>
    <t xml:space="preserve">ESDPSA0402V05</t>
  </si>
  <si>
    <t xml:space="preserve">D3,D4,D5,D6,D7,D9,D10,D11,D12,D13,D14,D18,D19</t>
  </si>
  <si>
    <t xml:space="preserve">SMD Diode Array ESD;4 Channel</t>
  </si>
  <si>
    <t xml:space="preserve">TI</t>
  </si>
  <si>
    <t xml:space="preserve">TPD4E05U06DQAR</t>
  </si>
  <si>
    <t xml:space="preserve">D1,D2</t>
  </si>
  <si>
    <t xml:space="preserve">SMD LED Clear-Blue;0402</t>
  </si>
  <si>
    <t xml:space="preserve">Bright</t>
  </si>
  <si>
    <t xml:space="preserve">BL-HB337A-AV-TRB</t>
  </si>
  <si>
    <t xml:space="preserve">LED3,LED4,LED5,LED6,LED7,LED8,LED9,LED10,LED11,LED12,LED13,LED14</t>
  </si>
  <si>
    <t xml:space="preserve">SMD LED Clear-Green;0402</t>
  </si>
  <si>
    <t xml:space="preserve">BL-HGE37A-AV-TRB</t>
  </si>
  <si>
    <t xml:space="preserve">LED1</t>
  </si>
  <si>
    <t xml:space="preserve">SMD Transistors PNP 40V-200mA;SOT-23</t>
  </si>
  <si>
    <t xml:space="preserve">ON</t>
  </si>
  <si>
    <t xml:space="preserve">MMBT3906LT3G</t>
  </si>
  <si>
    <t xml:space="preserve">Q30</t>
  </si>
  <si>
    <r>
      <rPr>
        <sz val="11"/>
        <color rgb="FF000000"/>
        <rFont val="Arial"/>
        <family val="0"/>
        <charset val="1"/>
      </rPr>
      <t xml:space="preserve">SMD MOSFET N-CH 20V -630MA </t>
    </r>
    <r>
      <rPr>
        <sz val="11"/>
        <color rgb="FF000000"/>
        <rFont val="Noto Sans CJK SC"/>
        <family val="2"/>
        <charset val="1"/>
      </rPr>
      <t xml:space="preserve">；</t>
    </r>
    <r>
      <rPr>
        <sz val="11"/>
        <color rgb="FF000000"/>
        <rFont val="Arial"/>
        <family val="0"/>
        <charset val="1"/>
      </rPr>
      <t xml:space="preserve">SOT-523</t>
    </r>
  </si>
  <si>
    <t xml:space="preserve">Diodes</t>
  </si>
  <si>
    <t xml:space="preserve">DMG1012T-7</t>
  </si>
  <si>
    <t xml:space="preserve">Q3,Q4,Q5,Q6,Q7,Q8,Q9,Q10,Q11,Q12,Q13,Q14,Q15,Q16,Q19,Q20,Q24,Q25,Q27,Q28</t>
  </si>
  <si>
    <t xml:space="preserve">SMD MOSFET P-CH 30V-12A;HSMT8</t>
  </si>
  <si>
    <t xml:space="preserve">Rohm</t>
  </si>
  <si>
    <t xml:space="preserve">RQ3E120ATTB</t>
  </si>
  <si>
    <t xml:space="preserve">Q1,Q17,Q29,Q31</t>
  </si>
  <si>
    <t xml:space="preserve">SMD Transistor Array 2PNP 45V-0.1A;SOT36</t>
  </si>
  <si>
    <t xml:space="preserve">Diodes Incorporated</t>
  </si>
  <si>
    <t xml:space="preserve">BCM857BS-7-F</t>
  </si>
  <si>
    <t xml:space="preserve">Q18,Q2</t>
  </si>
  <si>
    <t xml:space="preserve">SMD Crystal;25MHz-18pF-20ppm;SMD-2520-4P-L2.5*W2.0*H0.6mm</t>
  </si>
  <si>
    <t xml:space="preserve">Interquip</t>
  </si>
  <si>
    <t xml:space="preserve">5ZAA25000182TFA0Q3</t>
  </si>
  <si>
    <t xml:space="preserve">X1</t>
  </si>
  <si>
    <t xml:space="preserve">SMD Crystal 27MHZ-12PF-30ppm;4P-L2.5*W2.0*H0.6mm</t>
  </si>
  <si>
    <t xml:space="preserve">5ZAA27000121TF60Q3</t>
  </si>
  <si>
    <t xml:space="preserve">X2</t>
  </si>
  <si>
    <t xml:space="preserve">SMD Crystal 25MHz-12pF-10ppm-30ppm-50R;4P-SMD-L3.2*W2.5*H0.8mm</t>
  </si>
  <si>
    <t xml:space="preserve">5YAA25000121TF50Q3</t>
  </si>
  <si>
    <t xml:space="preserve">X3</t>
  </si>
  <si>
    <t xml:space="preserve">SMD Oscillator;32.768KHz-3.3V-30ppm;SMD-2520-4P-L2.5*W2.0*H0.95mm</t>
  </si>
  <si>
    <t xml:space="preserve">1651-L3273-BTBQYA</t>
  </si>
  <si>
    <t xml:space="preserve">OSC1</t>
  </si>
  <si>
    <t xml:space="preserve">SMD Oscillator;125MHz-10ppm-6P-3.2*2.5mm</t>
  </si>
  <si>
    <t xml:space="preserve">Microchip</t>
  </si>
  <si>
    <t xml:space="preserve">DSC1123CI5-125.0000</t>
  </si>
  <si>
    <t xml:space="preserve">U7</t>
  </si>
  <si>
    <t xml:space="preserve">SMD IC PHY;10/100/1000 Ethernet Physical Layer Transceiver With RGMIII and SGMII;QFN-48</t>
  </si>
  <si>
    <t xml:space="preserve">Realtek</t>
  </si>
  <si>
    <t xml:space="preserve">RTL8211FS-CG</t>
  </si>
  <si>
    <t xml:space="preserve">U28</t>
  </si>
  <si>
    <t xml:space="preserve">SMD IC PMIC;MSOP-8</t>
  </si>
  <si>
    <t xml:space="preserve">TPS2051BDGNR</t>
  </si>
  <si>
    <t xml:space="preserve">U10</t>
  </si>
  <si>
    <t xml:space="preserve"> SMD IC PMIC;	 IC VREF SHUNT ADJ;SOT23-3</t>
  </si>
  <si>
    <t xml:space="preserve">ATL431AIDBZR</t>
  </si>
  <si>
    <t xml:space="preserve">U39</t>
  </si>
  <si>
    <t xml:space="preserve">SMD IC PMIC;SOT23-5</t>
  </si>
  <si>
    <t xml:space="preserve">TLV62569DBVT</t>
  </si>
  <si>
    <t xml:space="preserve">U36</t>
  </si>
  <si>
    <t xml:space="preserve">SMD IC PMIC;10A-QFN-32</t>
  </si>
  <si>
    <t xml:space="preserve">MIC22950YML-TR</t>
  </si>
  <si>
    <t xml:space="preserve">U13</t>
  </si>
  <si>
    <t xml:space="preserve">SMD IC PMIC LDO-3.3V-150mA;SOT-23A</t>
  </si>
  <si>
    <t xml:space="preserve">MCP1754ST-3302E/CB</t>
  </si>
  <si>
    <t xml:space="preserve">U16</t>
  </si>
  <si>
    <t xml:space="preserve">SMD IC PMIC;3A-DFN-12</t>
  </si>
  <si>
    <t xml:space="preserve">MIC23303YML-TR</t>
  </si>
  <si>
    <t xml:space="preserve">U18,U19,U20</t>
  </si>
  <si>
    <t xml:space="preserve">SMD IC PMIC LDO-ADJ-500mA;DFN-8 (2x3mm)</t>
  </si>
  <si>
    <t xml:space="preserve">MCP1725T-ADJE/MC</t>
  </si>
  <si>
    <t xml:space="preserve">U17</t>
  </si>
  <si>
    <t xml:space="preserve">SMD IC Logic;US8(8-VFSOP</t>
  </si>
  <si>
    <t xml:space="preserve">SN74LVC2G241DCUR</t>
  </si>
  <si>
    <t xml:space="preserve">U21</t>
  </si>
  <si>
    <t xml:space="preserve">SMD IC Logic;4-Bit Bidirectional Voltage-Level Translator;DSBGA-12</t>
  </si>
  <si>
    <t xml:space="preserve">Union Semiconductor</t>
  </si>
  <si>
    <t xml:space="preserve">UM3304</t>
  </si>
  <si>
    <t xml:space="preserve">U30,U31,U32,U33,U34,U35</t>
  </si>
  <si>
    <t xml:space="preserve">SMD IC Interface;QFN-32</t>
  </si>
  <si>
    <t xml:space="preserve">USB3340-EZK-TR</t>
  </si>
  <si>
    <t xml:space="preserve">U8</t>
  </si>
  <si>
    <t xml:space="preserve">SMD IC Controller;X2QFN12</t>
  </si>
  <si>
    <t xml:space="preserve">NXP</t>
  </si>
  <si>
    <t xml:space="preserve">PTN5150AHXMP</t>
  </si>
  <si>
    <t xml:space="preserve">U9</t>
  </si>
  <si>
    <t xml:space="preserve">SMD IC Memory;16GB eMMC 5.1;VFBGA-153</t>
  </si>
  <si>
    <t xml:space="preserve">Kingston</t>
  </si>
  <si>
    <t xml:space="preserve">EMMC16G-TB29-PZ90</t>
  </si>
  <si>
    <t xml:space="preserve">U3</t>
  </si>
  <si>
    <t xml:space="preserve">SMD IC Memory;SOIC-8</t>
  </si>
  <si>
    <t xml:space="preserve">Winbond</t>
  </si>
  <si>
    <t xml:space="preserve">W25Q128JVSIQ</t>
  </si>
  <si>
    <t xml:space="preserve">U4</t>
  </si>
  <si>
    <t xml:space="preserve">SMD IC Memory;32Kb-IIC Serial EEPROM;SOT23-5</t>
  </si>
  <si>
    <t xml:space="preserve">FMD</t>
  </si>
  <si>
    <t xml:space="preserve">FT24C32A-ELRT</t>
  </si>
  <si>
    <t xml:space="preserve">U22</t>
  </si>
  <si>
    <t xml:space="preserve">SMD IC Memory;LPDDR4 2GB(16bits x 2 channels) 1866MHz 3733Mbps;FBGA-200 (10X15)</t>
  </si>
  <si>
    <t xml:space="preserve">Samsung</t>
  </si>
  <si>
    <t xml:space="preserve">K4F6E3S4HM-MGCJ</t>
  </si>
  <si>
    <t xml:space="preserve">U2</t>
  </si>
  <si>
    <t xml:space="preserve">SMD IC ADC 16-BIT SPI;UQFN-20</t>
  </si>
  <si>
    <t xml:space="preserve">MCP3464RT-E/NC</t>
  </si>
  <si>
    <t xml:space="preserve">U11</t>
  </si>
  <si>
    <t xml:space="preserve">SMD IC Clock;PCI-Express Gen 2 Dual Output 100MHz Clock Generator;TDFN-10</t>
  </si>
  <si>
    <t xml:space="preserve">Skyworks</t>
  </si>
  <si>
    <t xml:space="preserve">Si52112-B3-GM2</t>
  </si>
  <si>
    <t xml:space="preserve">U38</t>
  </si>
  <si>
    <t xml:space="preserve">SMD IC REG LINEAR 2.5V 300MA;SOT23-5</t>
  </si>
  <si>
    <t xml:space="preserve">MIC5504-2.5YM5-TR</t>
  </si>
  <si>
    <t xml:space="preserve">U14</t>
  </si>
  <si>
    <t xml:space="preserve">SMD IC FPGA SoC;FCVG-484</t>
  </si>
  <si>
    <t xml:space="preserve">MPFS025T-FCVG484E</t>
  </si>
  <si>
    <t xml:space="preserve">U1</t>
  </si>
  <si>
    <t xml:space="preserve">SMD Top Button 1.57N;4P-L4.6*W3.2*H2.5mm</t>
  </si>
  <si>
    <t xml:space="preserve">ALPS</t>
  </si>
  <si>
    <t xml:space="preserve">SKRPABE010</t>
  </si>
  <si>
    <t xml:space="preserve">SW1,SW2</t>
  </si>
  <si>
    <t xml:space="preserve">PCB;BeagleV-Fire Rev A-Red-12 Layers</t>
  </si>
  <si>
    <t xml:space="preserve">SMD USB Type-c;12P+4-8.9*7.3*3.2mm</t>
  </si>
  <si>
    <t xml:space="preserve">MTCONN</t>
  </si>
  <si>
    <t xml:space="preserve">UBF31-0171</t>
  </si>
  <si>
    <t xml:space="preserve">J5</t>
  </si>
  <si>
    <t xml:space="preserve">DIP Black Male Header VERT;1*6P-2.54-2.5-11.5/3.0mm</t>
  </si>
  <si>
    <t xml:space="preserve">Sinotop</t>
  </si>
  <si>
    <t xml:space="preserve">ST-PH-254-0087-1*6P-6T</t>
  </si>
  <si>
    <t xml:space="preserve">J6</t>
  </si>
  <si>
    <t xml:space="preserve">DIP Black Female Header;2*23P-2.54*8.5-3.0mm</t>
  </si>
  <si>
    <t xml:space="preserve">FF-1236</t>
  </si>
  <si>
    <t xml:space="preserve">P8,P9</t>
  </si>
  <si>
    <t xml:space="preserve">SMD FPC CONN;22P-0.5mm-90D-Bottom Contact-L15.40*W5.25*H2.00mm</t>
  </si>
  <si>
    <t xml:space="preserve">BEST</t>
  </si>
  <si>
    <t xml:space="preserve">0.5K-DX-22PWB</t>
  </si>
  <si>
    <t xml:space="preserve">J7</t>
  </si>
  <si>
    <t xml:space="preserve">SMD SD Card Holder;Reverse-Bottom</t>
  </si>
  <si>
    <t xml:space="preserve">YU LIANG</t>
  </si>
  <si>
    <t xml:space="preserve">YL004-030-001</t>
  </si>
  <si>
    <t xml:space="preserve">J2</t>
  </si>
  <si>
    <t xml:space="preserve">SMD Connector Black m.2 E-key;67P-0.5mm</t>
  </si>
  <si>
    <t xml:space="preserve">FOXCONN</t>
  </si>
  <si>
    <t xml:space="preserve">AS0BC27-S40BE-7H</t>
  </si>
  <si>
    <t xml:space="preserve">J9</t>
  </si>
  <si>
    <t xml:space="preserve">DIP Female Screw Terminal;2P-3.5mm-Black</t>
  </si>
  <si>
    <t xml:space="preserve">STP128-350-2P</t>
  </si>
  <si>
    <t xml:space="preserve">J1</t>
  </si>
  <si>
    <t xml:space="preserve">DIP RJ45;1000M</t>
  </si>
  <si>
    <t xml:space="preserve">LINK-PP</t>
  </si>
  <si>
    <t xml:space="preserve">LPJG0933H11NL</t>
  </si>
  <si>
    <t xml:space="preserve">J4</t>
  </si>
  <si>
    <t xml:space="preserve">SMD BTB Female CONN;With High Speed Differential Pair and 2*20P+2P-0.5mm;L21.27*W7.49*H3.25mm</t>
  </si>
  <si>
    <t xml:space="preserve">Samtec</t>
  </si>
  <si>
    <t xml:space="preserve">QSH-020-01-F-D-DP-A-K-TR</t>
  </si>
  <si>
    <t xml:space="preserve">J8</t>
  </si>
  <si>
    <r>
      <rPr>
        <sz val="11"/>
        <color rgb="FF000000"/>
        <rFont val="Arial"/>
        <family val="0"/>
        <charset val="1"/>
      </rPr>
      <t xml:space="preserve">SMD Stud;M2</t>
    </r>
    <r>
      <rPr>
        <sz val="11"/>
        <color rgb="FF000000"/>
        <rFont val="Noto Sans CJK SC"/>
        <family val="2"/>
        <charset val="1"/>
      </rPr>
      <t xml:space="preserve">铜柱</t>
    </r>
  </si>
  <si>
    <t xml:space="preserve">2E0BC21-A40TP-7H</t>
  </si>
  <si>
    <t xml:space="preserve">MH4</t>
  </si>
  <si>
    <t xml:space="preserve">Component</t>
  </si>
  <si>
    <t xml:space="preserve">Qtd</t>
  </si>
  <si>
    <t xml:space="preserve">Datasheet</t>
  </si>
  <si>
    <t xml:space="preserve">MAX2771ETI+</t>
  </si>
  <si>
    <t xml:space="preserve">GNSS receiver</t>
  </si>
  <si>
    <t xml:space="preserve">TCA9517DGKRQ1</t>
  </si>
  <si>
    <t xml:space="preserve">I2C buffer</t>
  </si>
  <si>
    <t xml:space="preserve">SN65HVD234QDRQ1</t>
  </si>
  <si>
    <t xml:space="preserve">CAN transceiver</t>
  </si>
  <si>
    <t xml:space="preserve">TMP112AQDRLRQ1</t>
  </si>
  <si>
    <t xml:space="preserve">Temperature sensor</t>
  </si>
  <si>
    <t xml:space="preserve">INA226AQDGSRQ2</t>
  </si>
  <si>
    <t xml:space="preserve">Power sensor</t>
  </si>
  <si>
    <t xml:space="preserve">DS90LV011AQMF-NOPB</t>
  </si>
  <si>
    <t xml:space="preserve">FPGA SoC</t>
  </si>
  <si>
    <t xml:space="preserve">EEPROM</t>
  </si>
  <si>
    <t xml:space="preserve">BJT (PNP)</t>
  </si>
  <si>
    <t xml:space="preserve">MOSFET (N-CH)</t>
  </si>
  <si>
    <t xml:space="preserve">Power MOSFET</t>
  </si>
  <si>
    <t xml:space="preserve">Debug Interface Buffer</t>
  </si>
  <si>
    <t xml:space="preserve">Voltage Level Translator (VCCA)</t>
  </si>
  <si>
    <t xml:space="preserve">UM3305</t>
  </si>
  <si>
    <t xml:space="preserve">Voltage Level Translator (VCCB)</t>
  </si>
  <si>
    <t xml:space="preserve">LDO Voltage Regulator </t>
  </si>
  <si>
    <t xml:space="preserve">Synchronous Buck Regulator</t>
  </si>
  <si>
    <t xml:space="preserve">Synchronous Buck Converter</t>
  </si>
  <si>
    <t xml:space="preserve">Buck Regulator</t>
  </si>
  <si>
    <t xml:space="preserve">MCP3464RT-E_NC</t>
  </si>
  <si>
    <t xml:space="preserve">ADC</t>
  </si>
  <si>
    <t xml:space="preserve">Link</t>
  </si>
  <si>
    <t xml:space="preserve">Minimum supply voltage (V)</t>
  </si>
  <si>
    <t xml:space="preserve">Maximum supply voltage (V)</t>
  </si>
  <si>
    <t xml:space="preserve">Minimum supply Current (mA)</t>
  </si>
  <si>
    <t xml:space="preserve">Maximum supply Current (mA)</t>
  </si>
  <si>
    <t xml:space="preserve">Minimum power (mW)</t>
  </si>
  <si>
    <t xml:space="preserve">Maximum power (mW)</t>
  </si>
  <si>
    <t xml:space="preserve">Total minimum power (mW)</t>
  </si>
  <si>
    <t xml:space="preserve">Total maximum power (mW)</t>
  </si>
  <si>
    <t xml:space="preserve">Duty Cycle (%)</t>
  </si>
  <si>
    <t xml:space="preserve">Final total minimum power (mW)</t>
  </si>
  <si>
    <t xml:space="preserve">Final total maximum power (mW)</t>
  </si>
  <si>
    <t xml:space="preserve">Minimum Operational Temperature (ºC)</t>
  </si>
  <si>
    <t xml:space="preserve">Maximum Operational Temperature (ºC)</t>
  </si>
  <si>
    <t xml:space="preserve">I2C buffer (A)</t>
  </si>
  <si>
    <t xml:space="preserve">I2C buffer (B)</t>
  </si>
  <si>
    <t xml:space="preserve">https://www.ti.com/lit/ds/symlink/ina226-q1.pdf?HQS=dis-dk-null-digikeymode-dsf-pf-null-wwe&amp;ts=1787230153927&amp;ref_url=https%253A%252F%252Fwww.ti.com%252Fgeneral%252Fdocs%252Fsuppproductinfo.tsp%253FdistId%253D10%2526gotoUrl%253Dhttps%253A%252F%252Fwww.ti.com%252Flit%252Fgpn%252Fina226-q1</t>
  </si>
  <si>
    <t xml:space="preserve">https://ww1.microchip.com/downloads/aemDocuments/documents/FPGA/ProductDocuments/DataSheets/PolarFire-SoC-Datasheet-DS00004248.pdf</t>
  </si>
  <si>
    <t xml:space="preserve">EEPROM (read)</t>
  </si>
  <si>
    <t xml:space="preserve">EEPROM (write)</t>
  </si>
  <si>
    <t xml:space="preserve">Voltage Level Translator (A)</t>
  </si>
  <si>
    <t xml:space="preserve">Voltage Level Translator (B)</t>
  </si>
  <si>
    <t xml:space="preserve">https://www.ti.com/lit/ds/symlink/tlv62569.pdf?HQS=dis-dk-null-digikeymode-dsf-pf-null-wwe&amp;ts=1786371730028&amp;ref_url=https%253A%252F%252Fwww.ti.com%252Fgeneral%252Fdocs%252Fsuppproductinfo.tsp%253FdistId%253D10%2526gotoUrl%253Dhttps%253A%252F%252Fwww.ti.com%252Flit%252Fgpn%252Ftlv62569</t>
  </si>
  <si>
    <t xml:space="preserve">https://ww1.microchip.com/downloads/en/DeviceDoc/MIC23303.pdf</t>
  </si>
  <si>
    <t xml:space="preserve">ADC (Analog)</t>
  </si>
  <si>
    <t xml:space="preserve">https://br.mouser.com/datasheet/3/282/1/MCP3461_2_4R_Family_Data_Sheet_DS20006404C.pdf</t>
  </si>
  <si>
    <t xml:space="preserve">ADC (Analog/Vref=2.4V)</t>
  </si>
  <si>
    <t xml:space="preserve">ADC (Digital)</t>
  </si>
  <si>
    <t xml:space="preserve">https://ww1.microchip.com/downloads/aemDocuments/documents/APID/ProductDocuments/DataSheets/MCP1754-and-MCP1754S-Data-Sheet-DS20002276.pdf</t>
  </si>
  <si>
    <t xml:space="preserve">eMMC memory (read)</t>
  </si>
  <si>
    <t xml:space="preserve">https://datasheet.octopart.com/EMMC16G-TB29-PZ90-Kingston-datasheet-180528628.pdf?_gl=1*ha6eta*_gcl_aw*R0NMLjE3ODYzODIyMTMuQ2owS0NRanc3ZVhUQmhEQkFSSXNBS0YtdzQ3V242VF9takNmV0hISTgtTmpadDF0SlBkem9xNVhia2JzNkNsMXJvQW02MlBORElieDMzVWFBdWRtRUFMd193Y0I.*_gcl_au*ODc5NTkyODI5LjE3ODIxNDA4NTg.*_ga*Mzg1OTU3NTIuMTc4MjE0MDg1OA..*_ga_SNYD338KXX*czE3ODYzODIxMDIkbzEkZzEkdDE3ODYzODIyMTQkajU5JGwwJGgw</t>
  </si>
  <si>
    <t xml:space="preserve">eMMC memory (read/VCCQ)</t>
  </si>
  <si>
    <t xml:space="preserve">eMMC memory (write)</t>
  </si>
  <si>
    <t xml:space="preserve">eMMC memory (write/VCCQ)</t>
  </si>
  <si>
    <t xml:space="preserve">LPDDR4</t>
  </si>
  <si>
    <t xml:space="preserve">https://datasheet.octopart.com/K4F6E3S4HM-MGCJ-Samsung-datasheet-154195263.pdf?_gl=1*g01j23*_gcl_aw*R0NMLjE3ODYzODc2NjIuQ2owS0NRanc3ZVhUQmhEQkFSSXNBS0YtdzQ3Ul8telUyanlSYlRjTmVTNkE1LWREMm01YUZfMEJhNjN4OTloODlrbnlkN1FzYi1OM05hRWFBa3I4RUFMd193Y0I.*_gcl_au*ODc5NTkyODI5LjE3ODIxNDA4NTg.*_ga*Mzg1OTU3NTIuMTc4MjE0MDg1OA..*_ga_SNYD338KXX*czE3ODYzODc2NjEkbzIkZzAkdDE3ODYzODc2NjQkajU3JGwwJGgw</t>
  </si>
  <si>
    <t xml:space="preserve">SPI Flash</t>
  </si>
  <si>
    <t xml:space="preserve">https://mm.digikey.com/Volume0/opasdata/d220001/medias/docus/7161/256_W25Q128JV.pdf</t>
  </si>
  <si>
    <t xml:space="preserve">Mass (g)</t>
  </si>
  <si>
    <t xml:space="preserve">Total mass (g)</t>
  </si>
  <si>
    <t xml:space="preserve">OEM supply voltage (V)</t>
  </si>
  <si>
    <t xml:space="preserve">OEM supply current (mA)</t>
  </si>
  <si>
    <t xml:space="preserve">OEM power supply (mW)</t>
  </si>
  <si>
    <t xml:space="preserve"> Antenna output voltage (V)</t>
  </si>
  <si>
    <t xml:space="preserve">Antenna current (mA)</t>
  </si>
  <si>
    <t xml:space="preserve">Antenna power (mW)</t>
  </si>
  <si>
    <t xml:space="preserve">OEM719</t>
  </si>
  <si>
    <t xml:space="preserve">Empty Board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</si>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</sst>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"/>
    <numFmt numFmtId="167" formatCode="0.00"/>
    <numFmt numFmtId="168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  <charset val="1"/>
    </font>
    <font>
      <sz val="11"/>
      <color rgb="FFFF0000"/>
      <name val="Arial"/>
      <family val="0"/>
      <charset val="1"/>
    </font>
    <font>
      <u val="single"/>
      <sz val="11"/>
      <color rgb="FF0000FF"/>
      <name val="Roboto"/>
      <family val="0"/>
      <charset val="1"/>
    </font>
    <font>
      <u val="single"/>
      <sz val="11"/>
      <color rgb="FF434343"/>
      <name val="Roboto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999999"/>
        <bgColor rgb="FF808080"/>
      </patternFill>
    </fill>
    <fill>
      <patternFill patternType="solid">
        <fgColor rgb="FFF4CCCC"/>
        <bgColor rgb="FFD9EAD3"/>
      </patternFill>
    </fill>
    <fill>
      <patternFill patternType="solid">
        <fgColor rgb="FFFF9900"/>
        <bgColor rgb="FFFFCC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99999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9900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43434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NSS_OEM" displayName="GNSS_OEM" ref="G1:L2" headerRowCount="1" totalsRowCount="0" totalsRowShown="0">
  <tableColumns count="6">
    <tableColumn id="1" name="OEM supply voltage (V)"/>
    <tableColumn id="2" name="OEM supply current (mA)"/>
    <tableColumn id="3" name="OEM power supply (mW)"/>
    <tableColumn id="4" name=" Antenna output voltage (V)"/>
    <tableColumn id="5" name="Antenna current (mA)"/>
    <tableColumn id="6" name="Antenna power (mW)"/>
  </tableColumns>
</table>
</file>

<file path=xl/tables/table2.xml><?xml version="1.0" encoding="utf-8"?>
<table xmlns="http://schemas.openxmlformats.org/spreadsheetml/2006/main" id="2" name="GNSS_P.O.D" displayName="GNSS_P.O.D" ref="A1:E4" headerRowCount="1" totalsRowCount="0" totalsRowShown="0">
  <tableColumns count="5">
    <tableColumn id="1" name="Component"/>
    <tableColumn id="2" name="Description"/>
    <tableColumn id="3" name="Mass (g)"/>
    <tableColumn id="4" name="Qtd"/>
    <tableColumn id="5" name="Total mass (g)"/>
  </tableColumns>
</table>
</file>

<file path=xl/tables/table3.xml><?xml version="1.0" encoding="utf-8"?>
<table xmlns="http://schemas.openxmlformats.org/spreadsheetml/2006/main" id="3" name="Tabela_1" displayName="Tabela_1" ref="A1:G116" headerRowCount="1" totalsRowCount="0" totalsRowShown="0">
  <tableColumns count="7">
    <tableColumn id="1" name="SKU"/>
    <tableColumn id="2" name="Description"/>
    <tableColumn id="3" name="Manufacturer"/>
    <tableColumn id="4" name="MPN"/>
    <tableColumn id="5" name="Location"/>
    <tableColumn id="6" name="Qty"/>
    <tableColumn id="7" name="Coluna 1"/>
  </tableColumns>
</table>
</file>

<file path=xl/tables/table4.xml><?xml version="1.0" encoding="utf-8"?>
<table xmlns="http://schemas.openxmlformats.org/spreadsheetml/2006/main" id="4" name="Tabela_2" displayName="Tabela_2" ref="A1:D25" headerRowCount="1" totalsRowCount="0" totalsRowShown="0">
  <tableColumns count="4">
    <tableColumn id="1" name="Component"/>
    <tableColumn id="2" name="Description"/>
    <tableColumn id="3" name="Qtd"/>
    <tableColumn id="4" name="Datasheet"/>
  </tableColumns>
</table>
</file>

<file path=xl/tables/table5.xml><?xml version="1.0" encoding="utf-8"?>
<table xmlns="http://schemas.openxmlformats.org/spreadsheetml/2006/main" id="5" name="Tabela_3" displayName="Tabela_3" ref="A1:Q29" headerRowCount="1" totalsRowCount="1" totalsRowShown="1">
  <tableColumns count="17">
    <tableColumn id="1" name="Component"/>
    <tableColumn id="2" name="Description"/>
    <tableColumn id="3" name="Link"/>
    <tableColumn id="4" name="Qtd"/>
    <tableColumn id="5" name="Minimum supply voltage (V)"/>
    <tableColumn id="6" name="Maximum supply voltage (V)"/>
    <tableColumn id="7" name="Minimum supply Current (mA)"/>
    <tableColumn id="8" name="Maximum supply Current (mA)"/>
    <tableColumn id="9" name="Minimum power (mW)"/>
    <tableColumn id="10" name="Maximum power (mW)"/>
    <tableColumn id="11" name="Total minimum power (mW)"/>
    <tableColumn id="12" name="Total maximum power (mW)"/>
    <tableColumn id="13" name="Duty Cycle (%)"/>
    <tableColumn id="14" name="Final total minimum power (mW)"/>
    <tableColumn id="15" name="Final total maximum power (mW)"/>
    <tableColumn id="16" name="Minimum Operational Temperature (ºC)"/>
    <tableColumn id="17" name="Maximum Operational Temperature (ºC)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ti.com/lit/ds/symlink/ina226-q1.pdf?HQS=dis-dk-null-digikeymode-dsf-pf-null-wwe&amp;ts=1787230153927&amp;ref_url=https%253A%252F%252Fwww.ti.com%252Fgeneral%252Fdocs%252Fsuppproductinfo.tsp%253FdistId%253D10%2526gotoUrl%253Dhttps%253A%252F%252Fwww.ti.c" TargetMode="External"/><Relationship Id="rId3" Type="http://schemas.openxmlformats.org/officeDocument/2006/relationships/hyperlink" Target="https://ww1.microchip.com/downloads/aemDocuments/documents/FPGA/ProductDocuments/DataSheets/PolarFire-SoC-Datasheet-DS00004248.pdf" TargetMode="External"/><Relationship Id="rId4" Type="http://schemas.openxmlformats.org/officeDocument/2006/relationships/hyperlink" Target="https://www.ti.com/lit/ds/symlink/tlv62569.pdf?HQS=dis-dk-null-digikeymode-dsf-pf-null-wwe&amp;ts=1786371730028&amp;ref_url=https%253A%252F%252Fwww.ti.com%252Fgeneral%252Fdocs%252Fsuppproductinfo.tsp%253FdistId%253D10%2526gotoUrl%253Dhttps%253A%252F%252Fwww.ti.co" TargetMode="External"/><Relationship Id="rId5" Type="http://schemas.openxmlformats.org/officeDocument/2006/relationships/hyperlink" Target="https://ww1.microchip.com/downloads/en/DeviceDoc/MIC23303.pdf" TargetMode="External"/><Relationship Id="rId6" Type="http://schemas.openxmlformats.org/officeDocument/2006/relationships/hyperlink" Target="https://br.mouser.com/datasheet/3/282/1/MCP3461_2_4R_Family_Data_Sheet_DS20006404C.pdf" TargetMode="External"/><Relationship Id="rId7" Type="http://schemas.openxmlformats.org/officeDocument/2006/relationships/hyperlink" Target="https://ww1.microchip.com/downloads/aemDocuments/documents/APID/ProductDocuments/DataSheets/MCP1754-and-MCP1754S-Data-Sheet-DS20002276.pdf" TargetMode="External"/><Relationship Id="rId8" Type="http://schemas.openxmlformats.org/officeDocument/2006/relationships/hyperlink" Target="https://datasheet.octopart.com/EMMC16G-TB29-PZ90-Kingston-datasheet-180528628.pdf?_gl=1*ha6eta*_gcl_aw*R0NMLjE3ODYzODIyMTMuQ2owS0NRanc3ZVhUQmhEQkFSSXNBS0YtdzQ3V242VF9takNmV0hISTgtTmpadDF0SlBkem9xNVhia2JzNkNsMXJvQW02MlBORElieDMzVWFBdWRtRUFMd193Y0I.*_gcl_au" TargetMode="External"/><Relationship Id="rId9" Type="http://schemas.openxmlformats.org/officeDocument/2006/relationships/hyperlink" Target="https://datasheet.octopart.com/K4F6E3S4HM-MGCJ-Samsung-datasheet-154195263.pdf?_gl=1*g01j23*_gcl_aw*R0NMLjE3ODYzODc2NjIuQ2owS0NRanc3ZVhUQmhEQkFSSXNBS0YtdzQ3Ul8telUyanlSYlRjTmVTNkE1LWREMm01YUZfMEJhNjN4OTloODlrbnlkN1FzYi1OM05hRWFBa3I4RUFMd193Y0I.*_gcl_au*OD" TargetMode="External"/><Relationship Id="rId10" Type="http://schemas.openxmlformats.org/officeDocument/2006/relationships/hyperlink" Target="https://mm.digikey.com/Volume0/opasdata/d220001/medias/docus/7161/256_W25Q128JV.pdf" TargetMode="External"/><Relationship Id="rId11" Type="http://schemas.openxmlformats.org/officeDocument/2006/relationships/vmlDrawing" Target="../drawings/vmlDrawing1.vml"/><Relationship Id="rId1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4" activePane="bottomLeft" state="frozen"/>
      <selection pane="topLeft" activeCell="A1" activeCellId="0" sqref="A1"/>
      <selection pane="bottomLeft" activeCell="G36" activeCellId="0" sqref="G36"/>
    </sheetView>
  </sheetViews>
  <sheetFormatPr defaultColWidth="12.73046875" defaultRowHeight="15.75" zeroHeight="false" outlineLevelRow="0" outlineLevelCol="0"/>
  <cols>
    <col collapsed="false" customWidth="true" hidden="false" outlineLevel="0" max="2" min="2" style="0" width="26.63"/>
    <col collapsed="false" customWidth="true" hidden="false" outlineLevel="0" max="3" min="3" style="0" width="15.63"/>
    <col collapsed="false" customWidth="true" hidden="false" outlineLevel="0" max="4" min="4" style="0" width="28.9"/>
    <col collapsed="false" customWidth="true" hidden="false" outlineLevel="0" max="5" min="5" style="0" width="64.3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2.5" hidden="false" customHeight="true" outlineLevel="0" collapsed="false">
      <c r="A2" s="2" t="n">
        <v>102110898</v>
      </c>
      <c r="B2" s="2" t="s">
        <v>7</v>
      </c>
      <c r="F2" s="2"/>
      <c r="G2" s="2"/>
    </row>
    <row r="3" customFormat="false" ht="22.5" hidden="false" customHeight="true" outlineLevel="0" collapsed="false">
      <c r="A3" s="2" t="n">
        <v>202003659</v>
      </c>
      <c r="B3" s="2" t="s">
        <v>8</v>
      </c>
      <c r="F3" s="2" t="n">
        <v>1</v>
      </c>
      <c r="G3" s="2"/>
    </row>
    <row r="4" customFormat="false" ht="22.5" hidden="false" customHeight="true" outlineLevel="0" collapsed="false">
      <c r="A4" s="2" t="n">
        <v>301010000</v>
      </c>
      <c r="B4" s="2" t="s">
        <v>9</v>
      </c>
      <c r="C4" s="2" t="s">
        <v>10</v>
      </c>
      <c r="D4" s="3" t="s">
        <v>11</v>
      </c>
      <c r="E4" s="2" t="s">
        <v>12</v>
      </c>
      <c r="F4" s="2" t="n">
        <v>18</v>
      </c>
      <c r="G4" s="2"/>
    </row>
    <row r="5" customFormat="false" ht="22.5" hidden="false" customHeight="true" outlineLevel="0" collapsed="false">
      <c r="A5" s="2" t="n">
        <v>301010034</v>
      </c>
      <c r="B5" s="2" t="s">
        <v>13</v>
      </c>
      <c r="C5" s="2" t="s">
        <v>10</v>
      </c>
      <c r="D5" s="3" t="s">
        <v>14</v>
      </c>
      <c r="E5" s="2" t="s">
        <v>15</v>
      </c>
      <c r="F5" s="2" t="n">
        <v>2</v>
      </c>
      <c r="G5" s="2"/>
    </row>
    <row r="6" customFormat="false" ht="22.5" hidden="false" customHeight="true" outlineLevel="0" collapsed="false">
      <c r="A6" s="2" t="n">
        <v>301010043</v>
      </c>
      <c r="B6" s="2" t="s">
        <v>16</v>
      </c>
      <c r="C6" s="2" t="s">
        <v>10</v>
      </c>
      <c r="D6" s="3" t="s">
        <v>17</v>
      </c>
      <c r="E6" s="2" t="s">
        <v>18</v>
      </c>
      <c r="F6" s="2" t="n">
        <v>8</v>
      </c>
      <c r="G6" s="2"/>
    </row>
    <row r="7" customFormat="false" ht="22.5" hidden="false" customHeight="true" outlineLevel="0" collapsed="false">
      <c r="A7" s="2" t="n">
        <v>301010044</v>
      </c>
      <c r="B7" s="2" t="s">
        <v>19</v>
      </c>
      <c r="C7" s="2" t="s">
        <v>10</v>
      </c>
      <c r="D7" s="3" t="s">
        <v>20</v>
      </c>
      <c r="E7" s="2" t="s">
        <v>21</v>
      </c>
      <c r="F7" s="2" t="n">
        <v>30</v>
      </c>
      <c r="G7" s="2"/>
    </row>
    <row r="8" customFormat="false" ht="22.5" hidden="false" customHeight="true" outlineLevel="0" collapsed="false">
      <c r="A8" s="2" t="n">
        <v>301010047</v>
      </c>
      <c r="B8" s="2" t="s">
        <v>22</v>
      </c>
      <c r="C8" s="2" t="s">
        <v>10</v>
      </c>
      <c r="D8" s="3" t="s">
        <v>23</v>
      </c>
      <c r="E8" s="2" t="s">
        <v>24</v>
      </c>
      <c r="F8" s="2" t="n">
        <v>44</v>
      </c>
      <c r="G8" s="2"/>
    </row>
    <row r="9" customFormat="false" ht="22.5" hidden="false" customHeight="true" outlineLevel="0" collapsed="false">
      <c r="A9" s="2" t="n">
        <v>301010050</v>
      </c>
      <c r="B9" s="2" t="s">
        <v>25</v>
      </c>
      <c r="C9" s="2" t="s">
        <v>10</v>
      </c>
      <c r="D9" s="3" t="s">
        <v>26</v>
      </c>
      <c r="E9" s="2" t="s">
        <v>27</v>
      </c>
      <c r="F9" s="2" t="n">
        <v>2</v>
      </c>
      <c r="G9" s="2"/>
    </row>
    <row r="10" customFormat="false" ht="22.5" hidden="false" customHeight="true" outlineLevel="0" collapsed="false">
      <c r="A10" s="2" t="n">
        <v>301010051</v>
      </c>
      <c r="B10" s="2" t="s">
        <v>28</v>
      </c>
      <c r="C10" s="2" t="s">
        <v>29</v>
      </c>
      <c r="D10" s="3" t="s">
        <v>30</v>
      </c>
      <c r="E10" s="2" t="s">
        <v>31</v>
      </c>
      <c r="F10" s="2" t="n">
        <v>1</v>
      </c>
      <c r="G10" s="2"/>
    </row>
    <row r="11" customFormat="false" ht="22.5" hidden="false" customHeight="true" outlineLevel="0" collapsed="false">
      <c r="A11" s="2" t="n">
        <v>301010052</v>
      </c>
      <c r="B11" s="2" t="s">
        <v>32</v>
      </c>
      <c r="C11" s="2" t="s">
        <v>10</v>
      </c>
      <c r="D11" s="3" t="s">
        <v>33</v>
      </c>
      <c r="E11" s="2" t="s">
        <v>34</v>
      </c>
      <c r="F11" s="2" t="n">
        <v>4</v>
      </c>
      <c r="G11" s="2"/>
    </row>
    <row r="12" customFormat="false" ht="22.5" hidden="false" customHeight="true" outlineLevel="0" collapsed="false">
      <c r="A12" s="2" t="n">
        <v>301010072</v>
      </c>
      <c r="B12" s="2" t="s">
        <v>35</v>
      </c>
      <c r="C12" s="2" t="s">
        <v>10</v>
      </c>
      <c r="D12" s="3" t="s">
        <v>36</v>
      </c>
      <c r="E12" s="2" t="s">
        <v>37</v>
      </c>
      <c r="F12" s="2" t="n">
        <v>1</v>
      </c>
      <c r="G12" s="2"/>
    </row>
    <row r="13" customFormat="false" ht="22.5" hidden="false" customHeight="true" outlineLevel="0" collapsed="false">
      <c r="A13" s="2" t="n">
        <v>301010081</v>
      </c>
      <c r="B13" s="2" t="s">
        <v>38</v>
      </c>
      <c r="C13" s="2" t="s">
        <v>10</v>
      </c>
      <c r="D13" s="3" t="s">
        <v>39</v>
      </c>
      <c r="E13" s="2" t="s">
        <v>40</v>
      </c>
      <c r="F13" s="2" t="n">
        <v>1</v>
      </c>
      <c r="G13" s="2"/>
    </row>
    <row r="14" customFormat="false" ht="22.5" hidden="false" customHeight="true" outlineLevel="0" collapsed="false">
      <c r="A14" s="2" t="n">
        <v>301010410</v>
      </c>
      <c r="B14" s="2" t="s">
        <v>41</v>
      </c>
      <c r="C14" s="2" t="s">
        <v>10</v>
      </c>
      <c r="D14" s="3" t="s">
        <v>42</v>
      </c>
      <c r="E14" s="2" t="s">
        <v>43</v>
      </c>
      <c r="F14" s="2" t="n">
        <v>1</v>
      </c>
      <c r="G14" s="2"/>
    </row>
    <row r="15" customFormat="false" ht="22.5" hidden="false" customHeight="true" outlineLevel="0" collapsed="false">
      <c r="A15" s="2" t="n">
        <v>301010444</v>
      </c>
      <c r="B15" s="2" t="s">
        <v>44</v>
      </c>
      <c r="C15" s="2" t="s">
        <v>10</v>
      </c>
      <c r="D15" s="3" t="s">
        <v>45</v>
      </c>
      <c r="E15" s="2" t="s">
        <v>46</v>
      </c>
      <c r="F15" s="2" t="n">
        <v>9</v>
      </c>
      <c r="G15" s="2"/>
    </row>
    <row r="16" customFormat="false" ht="22.5" hidden="false" customHeight="true" outlineLevel="0" collapsed="false">
      <c r="A16" s="2" t="n">
        <v>301010456</v>
      </c>
      <c r="B16" s="2" t="s">
        <v>47</v>
      </c>
      <c r="C16" s="2" t="s">
        <v>10</v>
      </c>
      <c r="D16" s="3" t="s">
        <v>48</v>
      </c>
      <c r="E16" s="2" t="s">
        <v>49</v>
      </c>
      <c r="F16" s="2" t="n">
        <v>6</v>
      </c>
      <c r="G16" s="2"/>
    </row>
    <row r="17" customFormat="false" ht="22.5" hidden="false" customHeight="true" outlineLevel="0" collapsed="false">
      <c r="A17" s="2" t="n">
        <v>301010457</v>
      </c>
      <c r="B17" s="2" t="s">
        <v>50</v>
      </c>
      <c r="C17" s="2" t="s">
        <v>10</v>
      </c>
      <c r="D17" s="3" t="s">
        <v>51</v>
      </c>
      <c r="E17" s="2" t="s">
        <v>52</v>
      </c>
      <c r="F17" s="2" t="n">
        <v>20</v>
      </c>
      <c r="G17" s="2"/>
    </row>
    <row r="18" customFormat="false" ht="22.5" hidden="false" customHeight="true" outlineLevel="0" collapsed="false">
      <c r="A18" s="2" t="n">
        <v>301010524</v>
      </c>
      <c r="B18" s="2" t="s">
        <v>53</v>
      </c>
      <c r="C18" s="2" t="s">
        <v>10</v>
      </c>
      <c r="D18" s="3" t="s">
        <v>54</v>
      </c>
      <c r="E18" s="2" t="s">
        <v>55</v>
      </c>
      <c r="F18" s="2" t="n">
        <v>7</v>
      </c>
      <c r="G18" s="2"/>
    </row>
    <row r="19" customFormat="false" ht="22.5" hidden="false" customHeight="true" outlineLevel="0" collapsed="false">
      <c r="A19" s="2" t="n">
        <v>301010525</v>
      </c>
      <c r="B19" s="2" t="s">
        <v>56</v>
      </c>
      <c r="C19" s="2" t="s">
        <v>10</v>
      </c>
      <c r="D19" s="3" t="s">
        <v>57</v>
      </c>
      <c r="E19" s="2" t="s">
        <v>58</v>
      </c>
      <c r="F19" s="2" t="n">
        <v>6</v>
      </c>
      <c r="G19" s="2" t="s">
        <v>59</v>
      </c>
    </row>
    <row r="20" customFormat="false" ht="22.5" hidden="false" customHeight="true" outlineLevel="0" collapsed="false">
      <c r="A20" s="2" t="n">
        <v>301010567</v>
      </c>
      <c r="B20" s="2" t="s">
        <v>60</v>
      </c>
      <c r="C20" s="2" t="s">
        <v>10</v>
      </c>
      <c r="D20" s="3" t="s">
        <v>61</v>
      </c>
      <c r="E20" s="2" t="s">
        <v>62</v>
      </c>
      <c r="F20" s="2" t="n">
        <v>1</v>
      </c>
      <c r="G20" s="2"/>
    </row>
    <row r="21" customFormat="false" ht="22.5" hidden="false" customHeight="true" outlineLevel="0" collapsed="false">
      <c r="A21" s="2" t="n">
        <v>301010633</v>
      </c>
      <c r="B21" s="2" t="s">
        <v>63</v>
      </c>
      <c r="C21" s="2" t="s">
        <v>10</v>
      </c>
      <c r="D21" s="3" t="s">
        <v>64</v>
      </c>
      <c r="E21" s="2" t="s">
        <v>65</v>
      </c>
      <c r="F21" s="2" t="n">
        <v>12</v>
      </c>
      <c r="G21" s="2"/>
    </row>
    <row r="22" customFormat="false" ht="22.5" hidden="false" customHeight="true" outlineLevel="0" collapsed="false">
      <c r="A22" s="2" t="n">
        <v>301010671</v>
      </c>
      <c r="B22" s="2" t="s">
        <v>66</v>
      </c>
      <c r="C22" s="2" t="s">
        <v>10</v>
      </c>
      <c r="D22" s="3" t="s">
        <v>67</v>
      </c>
      <c r="E22" s="2" t="s">
        <v>68</v>
      </c>
      <c r="F22" s="2" t="n">
        <v>1</v>
      </c>
      <c r="G22" s="2"/>
    </row>
    <row r="23" customFormat="false" ht="22.5" hidden="false" customHeight="true" outlineLevel="0" collapsed="false">
      <c r="A23" s="2" t="n">
        <v>301010738</v>
      </c>
      <c r="B23" s="2" t="s">
        <v>69</v>
      </c>
      <c r="C23" s="2" t="s">
        <v>10</v>
      </c>
      <c r="D23" s="3" t="s">
        <v>70</v>
      </c>
      <c r="E23" s="2" t="s">
        <v>71</v>
      </c>
      <c r="F23" s="2" t="n">
        <v>1</v>
      </c>
      <c r="G23" s="2" t="s">
        <v>59</v>
      </c>
    </row>
    <row r="24" customFormat="false" ht="22.5" hidden="false" customHeight="true" outlineLevel="0" collapsed="false">
      <c r="A24" s="2" t="n">
        <v>301010746</v>
      </c>
      <c r="B24" s="2" t="s">
        <v>72</v>
      </c>
      <c r="C24" s="2" t="s">
        <v>10</v>
      </c>
      <c r="D24" s="3" t="s">
        <v>73</v>
      </c>
      <c r="E24" s="2" t="s">
        <v>74</v>
      </c>
      <c r="F24" s="2" t="n">
        <v>6</v>
      </c>
      <c r="G24" s="2"/>
    </row>
    <row r="25" customFormat="false" ht="22.5" hidden="false" customHeight="true" outlineLevel="0" collapsed="false">
      <c r="A25" s="2" t="n">
        <v>301010783</v>
      </c>
      <c r="B25" s="2" t="s">
        <v>75</v>
      </c>
      <c r="C25" s="2" t="s">
        <v>10</v>
      </c>
      <c r="D25" s="3" t="s">
        <v>76</v>
      </c>
      <c r="E25" s="2" t="s">
        <v>77</v>
      </c>
      <c r="F25" s="2" t="n">
        <v>1</v>
      </c>
      <c r="G25" s="2"/>
    </row>
    <row r="26" customFormat="false" ht="22.5" hidden="false" customHeight="true" outlineLevel="0" collapsed="false">
      <c r="A26" s="2" t="n">
        <v>301010856</v>
      </c>
      <c r="B26" s="2" t="s">
        <v>78</v>
      </c>
      <c r="C26" s="2" t="s">
        <v>10</v>
      </c>
      <c r="D26" s="3" t="s">
        <v>79</v>
      </c>
      <c r="E26" s="2" t="s">
        <v>80</v>
      </c>
      <c r="F26" s="2" t="n">
        <v>2</v>
      </c>
      <c r="G26" s="2"/>
    </row>
    <row r="27" customFormat="false" ht="22.5" hidden="false" customHeight="true" outlineLevel="0" collapsed="false">
      <c r="A27" s="2" t="n">
        <v>301010860</v>
      </c>
      <c r="B27" s="2" t="s">
        <v>81</v>
      </c>
      <c r="C27" s="2" t="s">
        <v>10</v>
      </c>
      <c r="D27" s="3" t="s">
        <v>82</v>
      </c>
      <c r="E27" s="2" t="s">
        <v>83</v>
      </c>
      <c r="F27" s="2" t="n">
        <v>1</v>
      </c>
      <c r="G27" s="2"/>
    </row>
    <row r="28" customFormat="false" ht="22.5" hidden="false" customHeight="true" outlineLevel="0" collapsed="false">
      <c r="A28" s="2" t="n">
        <v>301010861</v>
      </c>
      <c r="B28" s="2" t="s">
        <v>84</v>
      </c>
      <c r="C28" s="2" t="s">
        <v>10</v>
      </c>
      <c r="D28" s="3" t="s">
        <v>85</v>
      </c>
      <c r="E28" s="2" t="s">
        <v>86</v>
      </c>
      <c r="F28" s="2" t="n">
        <v>1</v>
      </c>
      <c r="G28" s="2"/>
    </row>
    <row r="29" customFormat="false" ht="22.5" hidden="false" customHeight="true" outlineLevel="0" collapsed="false">
      <c r="A29" s="2" t="n">
        <v>301011069</v>
      </c>
      <c r="B29" s="2" t="s">
        <v>87</v>
      </c>
      <c r="C29" s="2" t="s">
        <v>10</v>
      </c>
      <c r="D29" s="3" t="s">
        <v>88</v>
      </c>
      <c r="E29" s="2" t="s">
        <v>89</v>
      </c>
      <c r="F29" s="2" t="n">
        <v>1</v>
      </c>
      <c r="G29" s="2"/>
    </row>
    <row r="30" customFormat="false" ht="22.5" hidden="false" customHeight="true" outlineLevel="0" collapsed="false">
      <c r="A30" s="2" t="n">
        <v>301011314</v>
      </c>
      <c r="B30" s="2" t="s">
        <v>90</v>
      </c>
      <c r="C30" s="2" t="s">
        <v>10</v>
      </c>
      <c r="D30" s="3" t="s">
        <v>91</v>
      </c>
      <c r="E30" s="2" t="s">
        <v>92</v>
      </c>
      <c r="F30" s="2" t="n">
        <v>1</v>
      </c>
      <c r="G30" s="2"/>
    </row>
    <row r="31" customFormat="false" ht="22.5" hidden="false" customHeight="true" outlineLevel="0" collapsed="false">
      <c r="A31" s="2" t="n">
        <v>301011474</v>
      </c>
      <c r="B31" s="2" t="s">
        <v>93</v>
      </c>
      <c r="C31" s="2" t="s">
        <v>10</v>
      </c>
      <c r="D31" s="3" t="s">
        <v>94</v>
      </c>
      <c r="E31" s="2" t="s">
        <v>95</v>
      </c>
      <c r="F31" s="2" t="n">
        <v>1</v>
      </c>
      <c r="G31" s="2" t="s">
        <v>59</v>
      </c>
    </row>
    <row r="32" customFormat="false" ht="22.5" hidden="false" customHeight="true" outlineLevel="0" collapsed="false">
      <c r="A32" s="2" t="n">
        <v>301011475</v>
      </c>
      <c r="B32" s="2" t="s">
        <v>96</v>
      </c>
      <c r="C32" s="2" t="s">
        <v>10</v>
      </c>
      <c r="D32" s="3" t="s">
        <v>97</v>
      </c>
      <c r="E32" s="2" t="s">
        <v>98</v>
      </c>
      <c r="F32" s="2" t="n">
        <v>1</v>
      </c>
      <c r="G32" s="2"/>
    </row>
    <row r="33" customFormat="false" ht="22.5" hidden="false" customHeight="true" outlineLevel="0" collapsed="false">
      <c r="A33" s="2" t="n">
        <v>301011477</v>
      </c>
      <c r="B33" s="2" t="s">
        <v>99</v>
      </c>
      <c r="C33" s="2" t="s">
        <v>10</v>
      </c>
      <c r="D33" s="3" t="s">
        <v>100</v>
      </c>
      <c r="E33" s="2" t="s">
        <v>101</v>
      </c>
      <c r="F33" s="2" t="n">
        <v>1</v>
      </c>
      <c r="G33" s="2"/>
    </row>
    <row r="34" customFormat="false" ht="22.5" hidden="false" customHeight="true" outlineLevel="0" collapsed="false">
      <c r="A34" s="2" t="n">
        <v>301011831</v>
      </c>
      <c r="B34" s="2" t="s">
        <v>102</v>
      </c>
      <c r="C34" s="2" t="s">
        <v>10</v>
      </c>
      <c r="D34" s="3" t="s">
        <v>103</v>
      </c>
      <c r="E34" s="2" t="s">
        <v>104</v>
      </c>
      <c r="F34" s="2" t="n">
        <v>1</v>
      </c>
      <c r="G34" s="2"/>
    </row>
    <row r="35" customFormat="false" ht="22.5" hidden="false" customHeight="true" outlineLevel="0" collapsed="false">
      <c r="A35" s="2" t="n">
        <v>302010000</v>
      </c>
      <c r="B35" s="2" t="s">
        <v>105</v>
      </c>
      <c r="C35" s="2" t="s">
        <v>10</v>
      </c>
      <c r="D35" s="3" t="s">
        <v>106</v>
      </c>
      <c r="E35" s="2" t="s">
        <v>107</v>
      </c>
      <c r="F35" s="2" t="n">
        <v>4</v>
      </c>
      <c r="G35" s="2"/>
    </row>
    <row r="36" customFormat="false" ht="22.5" hidden="false" customHeight="true" outlineLevel="0" collapsed="false">
      <c r="A36" s="2" t="n">
        <v>302010004</v>
      </c>
      <c r="B36" s="2" t="s">
        <v>108</v>
      </c>
      <c r="C36" s="2" t="s">
        <v>10</v>
      </c>
      <c r="D36" s="3" t="s">
        <v>109</v>
      </c>
      <c r="E36" s="2" t="s">
        <v>110</v>
      </c>
      <c r="F36" s="2" t="n">
        <v>46</v>
      </c>
      <c r="G36" s="2"/>
    </row>
    <row r="37" customFormat="false" ht="22.5" hidden="false" customHeight="true" outlineLevel="0" collapsed="false">
      <c r="A37" s="2" t="n">
        <v>302010006</v>
      </c>
      <c r="B37" s="2" t="s">
        <v>111</v>
      </c>
      <c r="C37" s="2" t="s">
        <v>10</v>
      </c>
      <c r="D37" s="3" t="s">
        <v>112</v>
      </c>
      <c r="E37" s="2" t="s">
        <v>113</v>
      </c>
      <c r="F37" s="2" t="n">
        <v>1</v>
      </c>
      <c r="G37" s="2"/>
    </row>
    <row r="38" customFormat="false" ht="22.5" hidden="false" customHeight="true" outlineLevel="0" collapsed="false">
      <c r="A38" s="2" t="n">
        <v>302010010</v>
      </c>
      <c r="B38" s="2" t="s">
        <v>114</v>
      </c>
      <c r="C38" s="2" t="s">
        <v>10</v>
      </c>
      <c r="D38" s="3" t="s">
        <v>115</v>
      </c>
      <c r="E38" s="2" t="s">
        <v>116</v>
      </c>
      <c r="F38" s="2" t="n">
        <v>1</v>
      </c>
      <c r="G38" s="2"/>
    </row>
    <row r="39" customFormat="false" ht="22.5" hidden="false" customHeight="true" outlineLevel="0" collapsed="false">
      <c r="A39" s="2" t="n">
        <v>302010012</v>
      </c>
      <c r="B39" s="2" t="s">
        <v>117</v>
      </c>
      <c r="C39" s="2" t="s">
        <v>10</v>
      </c>
      <c r="D39" s="3" t="s">
        <v>118</v>
      </c>
      <c r="E39" s="2" t="s">
        <v>119</v>
      </c>
      <c r="F39" s="2" t="n">
        <v>5</v>
      </c>
    </row>
    <row r="40" customFormat="false" ht="22.5" hidden="false" customHeight="true" outlineLevel="0" collapsed="false">
      <c r="A40" s="2" t="n">
        <v>302010016</v>
      </c>
      <c r="B40" s="2" t="s">
        <v>120</v>
      </c>
      <c r="C40" s="2" t="s">
        <v>10</v>
      </c>
      <c r="D40" s="3" t="s">
        <v>121</v>
      </c>
      <c r="E40" s="2" t="s">
        <v>122</v>
      </c>
      <c r="F40" s="2" t="n">
        <v>4</v>
      </c>
    </row>
    <row r="41" customFormat="false" ht="22.5" hidden="false" customHeight="true" outlineLevel="0" collapsed="false">
      <c r="A41" s="2" t="n">
        <v>302010024</v>
      </c>
      <c r="B41" s="2" t="s">
        <v>123</v>
      </c>
      <c r="C41" s="2" t="s">
        <v>10</v>
      </c>
      <c r="D41" s="3" t="s">
        <v>124</v>
      </c>
      <c r="E41" s="2" t="s">
        <v>125</v>
      </c>
      <c r="F41" s="2" t="n">
        <v>12</v>
      </c>
      <c r="G41" s="2"/>
    </row>
    <row r="42" customFormat="false" ht="22.5" hidden="false" customHeight="true" outlineLevel="0" collapsed="false">
      <c r="A42" s="2" t="n">
        <v>302010027</v>
      </c>
      <c r="B42" s="2" t="s">
        <v>126</v>
      </c>
      <c r="C42" s="2" t="s">
        <v>10</v>
      </c>
      <c r="D42" s="3" t="s">
        <v>127</v>
      </c>
      <c r="E42" s="2" t="s">
        <v>128</v>
      </c>
      <c r="F42" s="2" t="n">
        <v>2</v>
      </c>
      <c r="G42" s="2"/>
    </row>
    <row r="43" customFormat="false" ht="22.5" hidden="false" customHeight="true" outlineLevel="0" collapsed="false">
      <c r="A43" s="2" t="n">
        <v>302010039</v>
      </c>
      <c r="B43" s="2" t="s">
        <v>129</v>
      </c>
      <c r="C43" s="2" t="s">
        <v>10</v>
      </c>
      <c r="D43" s="4" t="s">
        <v>130</v>
      </c>
      <c r="E43" s="2" t="s">
        <v>131</v>
      </c>
      <c r="F43" s="2" t="n">
        <v>3</v>
      </c>
      <c r="G43" s="2" t="s">
        <v>59</v>
      </c>
    </row>
    <row r="44" customFormat="false" ht="22.5" hidden="false" customHeight="true" outlineLevel="0" collapsed="false">
      <c r="A44" s="2" t="n">
        <v>302010040</v>
      </c>
      <c r="B44" s="2" t="s">
        <v>132</v>
      </c>
      <c r="C44" s="2" t="s">
        <v>10</v>
      </c>
      <c r="D44" s="3" t="s">
        <v>133</v>
      </c>
      <c r="E44" s="2" t="s">
        <v>134</v>
      </c>
      <c r="F44" s="2" t="n">
        <v>10</v>
      </c>
      <c r="G44" s="2"/>
    </row>
    <row r="45" customFormat="false" ht="22.5" hidden="false" customHeight="true" outlineLevel="0" collapsed="false">
      <c r="A45" s="2" t="n">
        <v>302010054</v>
      </c>
      <c r="B45" s="2" t="s">
        <v>135</v>
      </c>
      <c r="C45" s="2" t="s">
        <v>10</v>
      </c>
      <c r="D45" s="3" t="s">
        <v>136</v>
      </c>
      <c r="E45" s="2" t="s">
        <v>137</v>
      </c>
      <c r="F45" s="2" t="n">
        <v>1</v>
      </c>
      <c r="G45" s="2"/>
    </row>
    <row r="46" customFormat="false" ht="22.5" hidden="false" customHeight="true" outlineLevel="0" collapsed="false">
      <c r="A46" s="2" t="n">
        <v>302010103</v>
      </c>
      <c r="B46" s="2" t="s">
        <v>138</v>
      </c>
      <c r="C46" s="2" t="s">
        <v>10</v>
      </c>
      <c r="D46" s="3" t="s">
        <v>139</v>
      </c>
      <c r="E46" s="2" t="s">
        <v>140</v>
      </c>
      <c r="F46" s="2" t="n">
        <v>20</v>
      </c>
      <c r="G46" s="2"/>
    </row>
    <row r="47" customFormat="false" ht="22.5" hidden="false" customHeight="true" outlineLevel="0" collapsed="false">
      <c r="A47" s="2" t="n">
        <v>302010111</v>
      </c>
      <c r="B47" s="2" t="s">
        <v>141</v>
      </c>
      <c r="C47" s="2" t="s">
        <v>10</v>
      </c>
      <c r="D47" s="3" t="s">
        <v>142</v>
      </c>
      <c r="E47" s="2" t="s">
        <v>143</v>
      </c>
      <c r="F47" s="2" t="n">
        <v>7</v>
      </c>
    </row>
    <row r="48" customFormat="false" ht="22.5" hidden="false" customHeight="true" outlineLevel="0" collapsed="false">
      <c r="A48" s="2" t="n">
        <v>302010146</v>
      </c>
      <c r="B48" s="2" t="s">
        <v>144</v>
      </c>
      <c r="C48" s="2" t="s">
        <v>10</v>
      </c>
      <c r="D48" s="3" t="s">
        <v>145</v>
      </c>
      <c r="E48" s="2" t="s">
        <v>146</v>
      </c>
      <c r="F48" s="2" t="n">
        <v>4</v>
      </c>
    </row>
    <row r="49" customFormat="false" ht="22.5" hidden="false" customHeight="true" outlineLevel="0" collapsed="false">
      <c r="A49" s="2" t="n">
        <v>302010166</v>
      </c>
      <c r="B49" s="2" t="s">
        <v>147</v>
      </c>
      <c r="C49" s="2" t="s">
        <v>10</v>
      </c>
      <c r="D49" s="3" t="s">
        <v>148</v>
      </c>
      <c r="E49" s="2" t="s">
        <v>149</v>
      </c>
      <c r="F49" s="2" t="n">
        <v>13</v>
      </c>
    </row>
    <row r="50" customFormat="false" ht="22.5" hidden="false" customHeight="true" outlineLevel="0" collapsed="false">
      <c r="A50" s="2" t="n">
        <v>302010235</v>
      </c>
      <c r="B50" s="2" t="s">
        <v>150</v>
      </c>
      <c r="C50" s="2" t="s">
        <v>10</v>
      </c>
      <c r="D50" s="3" t="s">
        <v>151</v>
      </c>
      <c r="E50" s="2" t="s">
        <v>152</v>
      </c>
      <c r="F50" s="2" t="n">
        <v>11</v>
      </c>
      <c r="G50" s="2"/>
    </row>
    <row r="51" customFormat="false" ht="22.5" hidden="false" customHeight="true" outlineLevel="0" collapsed="false">
      <c r="A51" s="2" t="n">
        <v>302010270</v>
      </c>
      <c r="B51" s="2" t="s">
        <v>153</v>
      </c>
      <c r="C51" s="2" t="s">
        <v>10</v>
      </c>
      <c r="D51" s="3" t="s">
        <v>154</v>
      </c>
      <c r="E51" s="2" t="s">
        <v>155</v>
      </c>
      <c r="F51" s="2" t="n">
        <v>3</v>
      </c>
      <c r="G51" s="2"/>
    </row>
    <row r="52" customFormat="false" ht="22.5" hidden="false" customHeight="true" outlineLevel="0" collapsed="false">
      <c r="A52" s="2" t="n">
        <v>302010271</v>
      </c>
      <c r="B52" s="2" t="s">
        <v>156</v>
      </c>
      <c r="C52" s="2" t="s">
        <v>10</v>
      </c>
      <c r="D52" s="3" t="s">
        <v>157</v>
      </c>
      <c r="E52" s="2" t="s">
        <v>158</v>
      </c>
      <c r="F52" s="2" t="n">
        <v>91</v>
      </c>
      <c r="G52" s="2"/>
    </row>
    <row r="53" customFormat="false" ht="22.5" hidden="false" customHeight="true" outlineLevel="0" collapsed="false">
      <c r="A53" s="2" t="n">
        <v>302010389</v>
      </c>
      <c r="B53" s="2" t="s">
        <v>159</v>
      </c>
      <c r="C53" s="2" t="s">
        <v>10</v>
      </c>
      <c r="D53" s="3" t="s">
        <v>160</v>
      </c>
      <c r="E53" s="2" t="s">
        <v>161</v>
      </c>
      <c r="F53" s="2" t="n">
        <v>7</v>
      </c>
      <c r="G53" s="2"/>
    </row>
    <row r="54" customFormat="false" ht="22.5" hidden="false" customHeight="true" outlineLevel="0" collapsed="false">
      <c r="A54" s="2" t="n">
        <v>302010394</v>
      </c>
      <c r="B54" s="2" t="s">
        <v>162</v>
      </c>
      <c r="C54" s="2" t="s">
        <v>10</v>
      </c>
      <c r="D54" s="3" t="s">
        <v>163</v>
      </c>
      <c r="E54" s="2" t="s">
        <v>164</v>
      </c>
      <c r="F54" s="2" t="n">
        <v>4</v>
      </c>
      <c r="G54" s="2"/>
    </row>
    <row r="55" customFormat="false" ht="22.5" hidden="false" customHeight="true" outlineLevel="0" collapsed="false">
      <c r="A55" s="2" t="n">
        <v>302010423</v>
      </c>
      <c r="B55" s="2" t="s">
        <v>165</v>
      </c>
      <c r="C55" s="2" t="s">
        <v>10</v>
      </c>
      <c r="D55" s="4" t="s">
        <v>166</v>
      </c>
      <c r="E55" s="2" t="s">
        <v>167</v>
      </c>
      <c r="F55" s="2" t="n">
        <v>3</v>
      </c>
      <c r="G55" s="2"/>
    </row>
    <row r="56" customFormat="false" ht="22.5" hidden="false" customHeight="true" outlineLevel="0" collapsed="false">
      <c r="A56" s="2" t="n">
        <v>302010426</v>
      </c>
      <c r="B56" s="2" t="s">
        <v>168</v>
      </c>
      <c r="C56" s="2" t="s">
        <v>10</v>
      </c>
      <c r="D56" s="3" t="s">
        <v>169</v>
      </c>
      <c r="E56" s="2" t="s">
        <v>170</v>
      </c>
      <c r="F56" s="2" t="n">
        <v>2</v>
      </c>
      <c r="G56" s="2"/>
    </row>
    <row r="57" customFormat="false" ht="22.5" hidden="false" customHeight="true" outlineLevel="0" collapsed="false">
      <c r="A57" s="2" t="n">
        <v>302010726</v>
      </c>
      <c r="B57" s="2" t="s">
        <v>171</v>
      </c>
      <c r="C57" s="2" t="s">
        <v>172</v>
      </c>
      <c r="D57" s="3" t="s">
        <v>173</v>
      </c>
      <c r="E57" s="2" t="s">
        <v>174</v>
      </c>
      <c r="F57" s="2" t="n">
        <v>1</v>
      </c>
      <c r="G57" s="2"/>
    </row>
    <row r="58" customFormat="false" ht="22.5" hidden="false" customHeight="true" outlineLevel="0" collapsed="false">
      <c r="A58" s="2" t="n">
        <v>302010727</v>
      </c>
      <c r="B58" s="2" t="s">
        <v>175</v>
      </c>
      <c r="C58" s="2" t="s">
        <v>10</v>
      </c>
      <c r="D58" s="4" t="s">
        <v>176</v>
      </c>
      <c r="E58" s="2" t="s">
        <v>177</v>
      </c>
      <c r="F58" s="2" t="n">
        <v>5</v>
      </c>
      <c r="G58" s="2"/>
    </row>
    <row r="59" customFormat="false" ht="22.5" hidden="false" customHeight="true" outlineLevel="0" collapsed="false">
      <c r="A59" s="2" t="n">
        <v>302010746</v>
      </c>
      <c r="B59" s="2" t="s">
        <v>178</v>
      </c>
      <c r="C59" s="2" t="s">
        <v>172</v>
      </c>
      <c r="D59" s="3" t="s">
        <v>179</v>
      </c>
      <c r="E59" s="2" t="s">
        <v>180</v>
      </c>
      <c r="F59" s="2" t="n">
        <v>1</v>
      </c>
      <c r="G59" s="2"/>
    </row>
    <row r="60" customFormat="false" ht="22.5" hidden="false" customHeight="true" outlineLevel="0" collapsed="false">
      <c r="A60" s="2" t="n">
        <v>302010747</v>
      </c>
      <c r="B60" s="2" t="s">
        <v>181</v>
      </c>
      <c r="C60" s="2" t="s">
        <v>182</v>
      </c>
      <c r="D60" s="3" t="s">
        <v>183</v>
      </c>
      <c r="E60" s="2" t="s">
        <v>184</v>
      </c>
      <c r="F60" s="2" t="n">
        <v>1</v>
      </c>
      <c r="G60" s="2"/>
    </row>
    <row r="61" customFormat="false" ht="22.5" hidden="false" customHeight="true" outlineLevel="0" collapsed="false">
      <c r="A61" s="2" t="n">
        <v>302011831</v>
      </c>
      <c r="B61" s="2" t="s">
        <v>185</v>
      </c>
      <c r="C61" s="2" t="s">
        <v>186</v>
      </c>
      <c r="D61" s="4" t="s">
        <v>187</v>
      </c>
      <c r="E61" s="2" t="s">
        <v>188</v>
      </c>
      <c r="F61" s="2" t="n">
        <v>12</v>
      </c>
      <c r="G61" s="2"/>
    </row>
    <row r="62" customFormat="false" ht="22.5" hidden="false" customHeight="true" outlineLevel="0" collapsed="false">
      <c r="A62" s="2" t="n">
        <v>302011962</v>
      </c>
      <c r="B62" s="2" t="s">
        <v>189</v>
      </c>
      <c r="C62" s="2" t="s">
        <v>10</v>
      </c>
      <c r="D62" s="3" t="s">
        <v>190</v>
      </c>
      <c r="E62" s="2" t="s">
        <v>191</v>
      </c>
      <c r="F62" s="2" t="n">
        <v>1</v>
      </c>
      <c r="G62" s="2"/>
    </row>
    <row r="63" customFormat="false" ht="22.5" hidden="false" customHeight="true" outlineLevel="0" collapsed="false">
      <c r="A63" s="2" t="n">
        <v>302020469</v>
      </c>
      <c r="B63" s="2" t="s">
        <v>192</v>
      </c>
      <c r="C63" s="2" t="s">
        <v>193</v>
      </c>
      <c r="D63" s="3" t="s">
        <v>194</v>
      </c>
      <c r="E63" s="2" t="s">
        <v>195</v>
      </c>
      <c r="F63" s="2" t="n">
        <v>2</v>
      </c>
      <c r="G63" s="2"/>
    </row>
    <row r="64" customFormat="false" ht="22.5" hidden="false" customHeight="true" outlineLevel="0" collapsed="false">
      <c r="A64" s="2" t="n">
        <v>303010128</v>
      </c>
      <c r="B64" s="2" t="s">
        <v>196</v>
      </c>
      <c r="C64" s="2" t="s">
        <v>172</v>
      </c>
      <c r="D64" s="3" t="s">
        <v>197</v>
      </c>
      <c r="E64" s="2" t="s">
        <v>198</v>
      </c>
      <c r="F64" s="2" t="n">
        <v>1</v>
      </c>
      <c r="G64" s="2" t="s">
        <v>59</v>
      </c>
    </row>
    <row r="65" customFormat="false" ht="22.5" hidden="false" customHeight="true" outlineLevel="0" collapsed="false">
      <c r="A65" s="2" t="n">
        <v>303010172</v>
      </c>
      <c r="B65" s="2" t="s">
        <v>199</v>
      </c>
      <c r="C65" s="2" t="s">
        <v>200</v>
      </c>
      <c r="D65" s="4" t="s">
        <v>201</v>
      </c>
      <c r="E65" s="2" t="s">
        <v>202</v>
      </c>
      <c r="F65" s="2" t="n">
        <v>3</v>
      </c>
      <c r="G65" s="2"/>
    </row>
    <row r="66" customFormat="false" ht="22.5" hidden="false" customHeight="true" outlineLevel="0" collapsed="false">
      <c r="A66" s="2" t="n">
        <v>303011528</v>
      </c>
      <c r="B66" s="2" t="s">
        <v>203</v>
      </c>
      <c r="C66" s="2" t="s">
        <v>204</v>
      </c>
      <c r="D66" s="4" t="s">
        <v>205</v>
      </c>
      <c r="E66" s="2" t="s">
        <v>206</v>
      </c>
      <c r="F66" s="2" t="n">
        <v>1</v>
      </c>
      <c r="G66" s="2"/>
    </row>
    <row r="67" customFormat="false" ht="22.5" hidden="false" customHeight="true" outlineLevel="0" collapsed="false">
      <c r="A67" s="2" t="n">
        <v>303011879</v>
      </c>
      <c r="B67" s="2" t="s">
        <v>207</v>
      </c>
      <c r="C67" s="2" t="s">
        <v>200</v>
      </c>
      <c r="D67" s="4" t="s">
        <v>208</v>
      </c>
      <c r="E67" s="2" t="s">
        <v>209</v>
      </c>
      <c r="F67" s="2" t="n">
        <v>1</v>
      </c>
      <c r="G67" s="2"/>
    </row>
    <row r="68" customFormat="false" ht="22.5" hidden="false" customHeight="true" outlineLevel="0" collapsed="false">
      <c r="A68" s="2" t="n">
        <v>303030040</v>
      </c>
      <c r="B68" s="2" t="s">
        <v>210</v>
      </c>
      <c r="C68" s="2" t="s">
        <v>172</v>
      </c>
      <c r="D68" s="3" t="s">
        <v>211</v>
      </c>
      <c r="E68" s="2" t="s">
        <v>212</v>
      </c>
      <c r="F68" s="2" t="n">
        <v>2</v>
      </c>
      <c r="G68" s="2" t="s">
        <v>59</v>
      </c>
    </row>
    <row r="69" customFormat="false" ht="22.5" hidden="false" customHeight="true" outlineLevel="0" collapsed="false">
      <c r="A69" s="2" t="n">
        <v>304011072</v>
      </c>
      <c r="B69" s="2" t="s">
        <v>213</v>
      </c>
      <c r="C69" s="2" t="s">
        <v>214</v>
      </c>
      <c r="D69" s="4" t="s">
        <v>215</v>
      </c>
      <c r="E69" s="2" t="s">
        <v>216</v>
      </c>
      <c r="F69" s="2" t="n">
        <v>3</v>
      </c>
      <c r="G69" s="2"/>
    </row>
    <row r="70" customFormat="false" ht="22.5" hidden="false" customHeight="true" outlineLevel="0" collapsed="false">
      <c r="A70" s="2" t="n">
        <v>304050002</v>
      </c>
      <c r="B70" s="2" t="s">
        <v>217</v>
      </c>
      <c r="C70" s="2" t="s">
        <v>218</v>
      </c>
      <c r="D70" s="3" t="s">
        <v>219</v>
      </c>
      <c r="E70" s="2" t="s">
        <v>220</v>
      </c>
      <c r="F70" s="2" t="n">
        <v>1</v>
      </c>
      <c r="G70" s="2"/>
    </row>
    <row r="71" customFormat="false" ht="22.5" hidden="false" customHeight="true" outlineLevel="0" collapsed="false">
      <c r="A71" s="2" t="n">
        <v>304051161</v>
      </c>
      <c r="B71" s="2" t="s">
        <v>221</v>
      </c>
      <c r="C71" s="2" t="s">
        <v>222</v>
      </c>
      <c r="D71" s="3" t="s">
        <v>223</v>
      </c>
      <c r="E71" s="2" t="s">
        <v>224</v>
      </c>
      <c r="F71" s="2" t="n">
        <v>1</v>
      </c>
      <c r="G71" s="2"/>
    </row>
    <row r="72" customFormat="false" ht="22.5" hidden="false" customHeight="true" outlineLevel="0" collapsed="false">
      <c r="A72" s="2" t="n">
        <v>304060074</v>
      </c>
      <c r="B72" s="2" t="s">
        <v>225</v>
      </c>
      <c r="C72" s="2" t="s">
        <v>226</v>
      </c>
      <c r="D72" s="4" t="s">
        <v>227</v>
      </c>
      <c r="E72" s="2" t="s">
        <v>228</v>
      </c>
      <c r="F72" s="2" t="n">
        <v>13</v>
      </c>
      <c r="G72" s="2"/>
    </row>
    <row r="73" customFormat="false" ht="22.5" hidden="false" customHeight="true" outlineLevel="0" collapsed="false">
      <c r="A73" s="2" t="n">
        <v>304060294</v>
      </c>
      <c r="B73" s="2" t="s">
        <v>229</v>
      </c>
      <c r="C73" s="2" t="s">
        <v>230</v>
      </c>
      <c r="D73" s="3" t="s">
        <v>231</v>
      </c>
      <c r="E73" s="2" t="s">
        <v>232</v>
      </c>
      <c r="F73" s="2" t="n">
        <v>2</v>
      </c>
      <c r="G73" s="2" t="s">
        <v>59</v>
      </c>
    </row>
    <row r="74" customFormat="false" ht="22.5" hidden="false" customHeight="true" outlineLevel="0" collapsed="false">
      <c r="A74" s="2" t="n">
        <v>304090075</v>
      </c>
      <c r="B74" s="2" t="s">
        <v>233</v>
      </c>
      <c r="C74" s="2" t="s">
        <v>234</v>
      </c>
      <c r="D74" s="4" t="s">
        <v>235</v>
      </c>
      <c r="E74" s="2" t="s">
        <v>236</v>
      </c>
      <c r="F74" s="2" t="n">
        <v>12</v>
      </c>
      <c r="G74" s="2"/>
    </row>
    <row r="75" customFormat="false" ht="22.5" hidden="false" customHeight="true" outlineLevel="0" collapsed="false">
      <c r="A75" s="2" t="n">
        <v>304090121</v>
      </c>
      <c r="B75" s="2" t="s">
        <v>237</v>
      </c>
      <c r="C75" s="2" t="s">
        <v>234</v>
      </c>
      <c r="D75" s="4" t="s">
        <v>238</v>
      </c>
      <c r="E75" s="2" t="s">
        <v>239</v>
      </c>
      <c r="F75" s="2" t="n">
        <v>1</v>
      </c>
      <c r="G75" s="2"/>
    </row>
    <row r="76" customFormat="false" ht="22.5" hidden="false" customHeight="true" outlineLevel="0" collapsed="false">
      <c r="A76" s="2" t="n">
        <v>305020002</v>
      </c>
      <c r="B76" s="2" t="s">
        <v>240</v>
      </c>
      <c r="C76" s="2" t="s">
        <v>241</v>
      </c>
      <c r="D76" s="3" t="s">
        <v>242</v>
      </c>
      <c r="E76" s="2" t="s">
        <v>243</v>
      </c>
      <c r="F76" s="2" t="n">
        <v>1</v>
      </c>
      <c r="G76" s="2"/>
    </row>
    <row r="77" customFormat="false" ht="22.5" hidden="false" customHeight="true" outlineLevel="0" collapsed="false">
      <c r="A77" s="2" t="n">
        <v>305030659</v>
      </c>
      <c r="B77" s="2" t="s">
        <v>244</v>
      </c>
      <c r="C77" s="2" t="s">
        <v>245</v>
      </c>
      <c r="D77" s="3" t="s">
        <v>246</v>
      </c>
      <c r="E77" s="2" t="s">
        <v>247</v>
      </c>
      <c r="F77" s="2" t="n">
        <v>20</v>
      </c>
      <c r="G77" s="2"/>
    </row>
    <row r="78" customFormat="false" ht="22.5" hidden="false" customHeight="true" outlineLevel="0" collapsed="false">
      <c r="A78" s="2" t="n">
        <v>305031179</v>
      </c>
      <c r="B78" s="2" t="s">
        <v>248</v>
      </c>
      <c r="C78" s="2" t="s">
        <v>249</v>
      </c>
      <c r="D78" s="3" t="s">
        <v>250</v>
      </c>
      <c r="E78" s="2" t="s">
        <v>251</v>
      </c>
      <c r="F78" s="2" t="n">
        <v>4</v>
      </c>
      <c r="G78" s="2"/>
    </row>
    <row r="79" customFormat="false" ht="22.5" hidden="false" customHeight="true" outlineLevel="0" collapsed="false">
      <c r="A79" s="2" t="n">
        <v>305050191</v>
      </c>
      <c r="B79" s="2" t="s">
        <v>252</v>
      </c>
      <c r="C79" s="2" t="s">
        <v>253</v>
      </c>
      <c r="D79" s="3" t="s">
        <v>254</v>
      </c>
      <c r="E79" s="2" t="s">
        <v>255</v>
      </c>
      <c r="F79" s="2" t="n">
        <v>2</v>
      </c>
      <c r="G79" s="2"/>
    </row>
    <row r="80" customFormat="false" ht="22.5" hidden="false" customHeight="true" outlineLevel="0" collapsed="false">
      <c r="A80" s="2" t="n">
        <v>306011049</v>
      </c>
      <c r="B80" s="2" t="s">
        <v>256</v>
      </c>
      <c r="C80" s="2" t="s">
        <v>257</v>
      </c>
      <c r="D80" s="4" t="s">
        <v>258</v>
      </c>
      <c r="E80" s="2" t="s">
        <v>259</v>
      </c>
      <c r="F80" s="2" t="n">
        <v>1</v>
      </c>
      <c r="G80" s="2"/>
    </row>
    <row r="81" customFormat="false" ht="22.5" hidden="false" customHeight="true" outlineLevel="0" collapsed="false">
      <c r="A81" s="2" t="n">
        <v>306011142</v>
      </c>
      <c r="B81" s="2" t="s">
        <v>260</v>
      </c>
      <c r="C81" s="2" t="s">
        <v>257</v>
      </c>
      <c r="D81" s="4" t="s">
        <v>261</v>
      </c>
      <c r="E81" s="2" t="s">
        <v>262</v>
      </c>
      <c r="F81" s="2" t="n">
        <v>1</v>
      </c>
      <c r="G81" s="2"/>
    </row>
    <row r="82" customFormat="false" ht="22.5" hidden="false" customHeight="true" outlineLevel="0" collapsed="false">
      <c r="A82" s="2" t="n">
        <v>306011268</v>
      </c>
      <c r="B82" s="2" t="s">
        <v>263</v>
      </c>
      <c r="C82" s="2" t="s">
        <v>257</v>
      </c>
      <c r="D82" s="4" t="s">
        <v>264</v>
      </c>
      <c r="E82" s="2" t="s">
        <v>265</v>
      </c>
      <c r="F82" s="2" t="n">
        <v>1</v>
      </c>
      <c r="G82" s="2"/>
    </row>
    <row r="83" customFormat="false" ht="22.5" hidden="false" customHeight="true" outlineLevel="0" collapsed="false">
      <c r="A83" s="2" t="n">
        <v>306020621</v>
      </c>
      <c r="B83" s="2" t="s">
        <v>266</v>
      </c>
      <c r="C83" s="2" t="s">
        <v>257</v>
      </c>
      <c r="D83" s="4" t="s">
        <v>267</v>
      </c>
      <c r="E83" s="2" t="s">
        <v>268</v>
      </c>
      <c r="F83" s="2" t="n">
        <v>1</v>
      </c>
      <c r="G83" s="2"/>
    </row>
    <row r="84" customFormat="false" ht="22.5" hidden="false" customHeight="true" outlineLevel="0" collapsed="false">
      <c r="A84" s="2" t="n">
        <v>306020701</v>
      </c>
      <c r="B84" s="2" t="s">
        <v>269</v>
      </c>
      <c r="C84" s="2" t="s">
        <v>270</v>
      </c>
      <c r="D84" s="3" t="s">
        <v>271</v>
      </c>
      <c r="E84" s="2" t="s">
        <v>272</v>
      </c>
      <c r="F84" s="2" t="n">
        <v>1</v>
      </c>
      <c r="G84" s="2"/>
    </row>
    <row r="85" customFormat="false" ht="22.5" hidden="false" customHeight="true" outlineLevel="0" collapsed="false">
      <c r="A85" s="2" t="n">
        <v>310011580</v>
      </c>
      <c r="B85" s="2" t="s">
        <v>273</v>
      </c>
      <c r="C85" s="2" t="s">
        <v>274</v>
      </c>
      <c r="D85" s="5" t="s">
        <v>275</v>
      </c>
      <c r="E85" s="2" t="s">
        <v>276</v>
      </c>
      <c r="F85" s="2" t="n">
        <v>1</v>
      </c>
      <c r="G85" s="2"/>
    </row>
    <row r="86" customFormat="false" ht="22.5" hidden="false" customHeight="true" outlineLevel="0" collapsed="false">
      <c r="A86" s="2" t="n">
        <v>310030211</v>
      </c>
      <c r="B86" s="2" t="s">
        <v>277</v>
      </c>
      <c r="C86" s="2" t="s">
        <v>230</v>
      </c>
      <c r="D86" s="3" t="s">
        <v>278</v>
      </c>
      <c r="E86" s="2" t="s">
        <v>279</v>
      </c>
      <c r="F86" s="2" t="n">
        <v>1</v>
      </c>
      <c r="G86" s="2"/>
    </row>
    <row r="87" customFormat="false" ht="22.5" hidden="false" customHeight="true" outlineLevel="0" collapsed="false">
      <c r="A87" s="2" t="n">
        <v>310031388</v>
      </c>
      <c r="B87" s="2" t="s">
        <v>280</v>
      </c>
      <c r="C87" s="2" t="s">
        <v>230</v>
      </c>
      <c r="D87" s="3" t="s">
        <v>281</v>
      </c>
      <c r="E87" s="2" t="s">
        <v>282</v>
      </c>
      <c r="F87" s="2" t="n">
        <v>1</v>
      </c>
      <c r="G87" s="2"/>
    </row>
    <row r="88" customFormat="false" ht="22.5" hidden="false" customHeight="true" outlineLevel="0" collapsed="false">
      <c r="A88" s="2" t="n">
        <v>310031449</v>
      </c>
      <c r="B88" s="2" t="s">
        <v>283</v>
      </c>
      <c r="C88" s="2" t="s">
        <v>230</v>
      </c>
      <c r="D88" s="3" t="s">
        <v>284</v>
      </c>
      <c r="E88" s="2" t="s">
        <v>285</v>
      </c>
      <c r="F88" s="2" t="n">
        <v>1</v>
      </c>
      <c r="G88" s="2"/>
    </row>
    <row r="89" customFormat="false" ht="22.5" hidden="false" customHeight="true" outlineLevel="0" collapsed="false">
      <c r="A89" s="2" t="n">
        <v>310032350</v>
      </c>
      <c r="B89" s="2" t="s">
        <v>286</v>
      </c>
      <c r="C89" s="2" t="s">
        <v>270</v>
      </c>
      <c r="D89" s="3" t="s">
        <v>287</v>
      </c>
      <c r="E89" s="2" t="s">
        <v>288</v>
      </c>
      <c r="F89" s="2" t="n">
        <v>1</v>
      </c>
      <c r="G89" s="2"/>
    </row>
    <row r="90" customFormat="false" ht="22.5" hidden="false" customHeight="true" outlineLevel="0" collapsed="false">
      <c r="A90" s="2" t="n">
        <v>310032351</v>
      </c>
      <c r="B90" s="2" t="s">
        <v>289</v>
      </c>
      <c r="C90" s="2" t="s">
        <v>270</v>
      </c>
      <c r="D90" s="3" t="s">
        <v>290</v>
      </c>
      <c r="E90" s="2" t="s">
        <v>291</v>
      </c>
      <c r="F90" s="2" t="n">
        <v>1</v>
      </c>
      <c r="G90" s="2"/>
    </row>
    <row r="91" customFormat="false" ht="22.5" hidden="false" customHeight="true" outlineLevel="0" collapsed="false">
      <c r="A91" s="2" t="n">
        <v>310032353</v>
      </c>
      <c r="B91" s="2" t="s">
        <v>292</v>
      </c>
      <c r="C91" s="2" t="s">
        <v>270</v>
      </c>
      <c r="D91" s="3" t="s">
        <v>293</v>
      </c>
      <c r="E91" s="2" t="s">
        <v>294</v>
      </c>
      <c r="F91" s="2" t="n">
        <v>3</v>
      </c>
      <c r="G91" s="2"/>
    </row>
    <row r="92" customFormat="false" ht="22.5" hidden="false" customHeight="true" outlineLevel="0" collapsed="false">
      <c r="A92" s="2" t="n">
        <v>310032372</v>
      </c>
      <c r="B92" s="2" t="s">
        <v>295</v>
      </c>
      <c r="C92" s="2" t="s">
        <v>270</v>
      </c>
      <c r="D92" s="3" t="s">
        <v>296</v>
      </c>
      <c r="E92" s="2" t="s">
        <v>297</v>
      </c>
      <c r="F92" s="2" t="n">
        <v>1</v>
      </c>
      <c r="G92" s="2"/>
    </row>
    <row r="93" customFormat="false" ht="22.5" hidden="false" customHeight="true" outlineLevel="0" collapsed="false">
      <c r="A93" s="2" t="n">
        <v>310050078</v>
      </c>
      <c r="B93" s="2" t="s">
        <v>298</v>
      </c>
      <c r="C93" s="2" t="s">
        <v>230</v>
      </c>
      <c r="D93" s="3" t="s">
        <v>299</v>
      </c>
      <c r="E93" s="2" t="s">
        <v>300</v>
      </c>
      <c r="F93" s="2" t="n">
        <v>1</v>
      </c>
      <c r="G93" s="2"/>
    </row>
    <row r="94" customFormat="false" ht="22.5" hidden="false" customHeight="true" outlineLevel="0" collapsed="false">
      <c r="A94" s="2" t="n">
        <v>310051370</v>
      </c>
      <c r="B94" s="2" t="s">
        <v>301</v>
      </c>
      <c r="C94" s="2" t="s">
        <v>302</v>
      </c>
      <c r="D94" s="3" t="s">
        <v>303</v>
      </c>
      <c r="E94" s="2" t="s">
        <v>304</v>
      </c>
      <c r="F94" s="2" t="n">
        <v>6</v>
      </c>
      <c r="G94" s="2"/>
    </row>
    <row r="95" customFormat="false" ht="22.5" hidden="false" customHeight="true" outlineLevel="0" collapsed="false">
      <c r="A95" s="2" t="n">
        <v>310071169</v>
      </c>
      <c r="B95" s="2" t="s">
        <v>305</v>
      </c>
      <c r="C95" s="2" t="s">
        <v>270</v>
      </c>
      <c r="D95" s="3" t="s">
        <v>306</v>
      </c>
      <c r="E95" s="2" t="s">
        <v>307</v>
      </c>
      <c r="F95" s="2" t="n">
        <v>1</v>
      </c>
      <c r="G95" s="2"/>
    </row>
    <row r="96" customFormat="false" ht="22.5" hidden="false" customHeight="true" outlineLevel="0" collapsed="false">
      <c r="A96" s="2" t="n">
        <v>310071170</v>
      </c>
      <c r="B96" s="2" t="s">
        <v>308</v>
      </c>
      <c r="C96" s="2" t="s">
        <v>309</v>
      </c>
      <c r="D96" s="3" t="s">
        <v>310</v>
      </c>
      <c r="E96" s="2" t="s">
        <v>311</v>
      </c>
      <c r="F96" s="2" t="n">
        <v>1</v>
      </c>
      <c r="G96" s="2"/>
    </row>
    <row r="97" customFormat="false" ht="22.5" hidden="false" customHeight="true" outlineLevel="0" collapsed="false">
      <c r="A97" s="2" t="n">
        <v>310091085</v>
      </c>
      <c r="B97" s="2" t="s">
        <v>312</v>
      </c>
      <c r="C97" s="2" t="s">
        <v>313</v>
      </c>
      <c r="D97" s="3" t="s">
        <v>314</v>
      </c>
      <c r="E97" s="2" t="s">
        <v>315</v>
      </c>
      <c r="F97" s="2" t="n">
        <v>1</v>
      </c>
      <c r="G97" s="2"/>
    </row>
    <row r="98" customFormat="false" ht="22.5" hidden="false" customHeight="true" outlineLevel="0" collapsed="false">
      <c r="A98" s="2" t="n">
        <v>310091104</v>
      </c>
      <c r="B98" s="2" t="s">
        <v>316</v>
      </c>
      <c r="C98" s="2" t="s">
        <v>317</v>
      </c>
      <c r="D98" s="3" t="s">
        <v>318</v>
      </c>
      <c r="E98" s="2" t="s">
        <v>319</v>
      </c>
      <c r="F98" s="2" t="n">
        <v>1</v>
      </c>
      <c r="G98" s="2"/>
    </row>
    <row r="99" customFormat="false" ht="22.5" hidden="false" customHeight="true" outlineLevel="0" collapsed="false">
      <c r="A99" s="2" t="n">
        <v>310091347</v>
      </c>
      <c r="B99" s="2" t="s">
        <v>320</v>
      </c>
      <c r="C99" s="2" t="s">
        <v>321</v>
      </c>
      <c r="D99" s="3" t="s">
        <v>322</v>
      </c>
      <c r="E99" s="2" t="s">
        <v>323</v>
      </c>
      <c r="F99" s="2" t="n">
        <v>1</v>
      </c>
      <c r="G99" s="2"/>
    </row>
    <row r="100" customFormat="false" ht="22.5" hidden="false" customHeight="true" outlineLevel="0" collapsed="false">
      <c r="A100" s="2" t="n">
        <v>310091407</v>
      </c>
      <c r="B100" s="2" t="s">
        <v>324</v>
      </c>
      <c r="C100" s="2" t="s">
        <v>325</v>
      </c>
      <c r="D100" s="3" t="s">
        <v>326</v>
      </c>
      <c r="E100" s="2" t="s">
        <v>327</v>
      </c>
      <c r="F100" s="2" t="n">
        <v>1</v>
      </c>
      <c r="G100" s="2"/>
    </row>
    <row r="101" customFormat="false" ht="22.5" hidden="false" customHeight="true" outlineLevel="0" collapsed="false">
      <c r="A101" s="2" t="n">
        <v>310100567</v>
      </c>
      <c r="B101" s="2" t="s">
        <v>328</v>
      </c>
      <c r="C101" s="2" t="s">
        <v>270</v>
      </c>
      <c r="D101" s="3" t="s">
        <v>329</v>
      </c>
      <c r="E101" s="2" t="s">
        <v>330</v>
      </c>
      <c r="F101" s="2" t="n">
        <v>1</v>
      </c>
      <c r="G101" s="2"/>
    </row>
    <row r="102" customFormat="false" ht="22.5" hidden="false" customHeight="true" outlineLevel="0" collapsed="false">
      <c r="A102" s="2" t="n">
        <v>310110523</v>
      </c>
      <c r="B102" s="2" t="s">
        <v>331</v>
      </c>
      <c r="C102" s="2" t="s">
        <v>332</v>
      </c>
      <c r="D102" s="4" t="s">
        <v>333</v>
      </c>
      <c r="E102" s="2" t="s">
        <v>334</v>
      </c>
      <c r="F102" s="2" t="n">
        <v>1</v>
      </c>
      <c r="G102" s="2"/>
    </row>
    <row r="103" customFormat="false" ht="22.5" hidden="false" customHeight="true" outlineLevel="0" collapsed="false">
      <c r="A103" s="2" t="n">
        <v>310990589</v>
      </c>
      <c r="B103" s="2" t="s">
        <v>335</v>
      </c>
      <c r="C103" s="2" t="s">
        <v>270</v>
      </c>
      <c r="D103" s="3" t="s">
        <v>336</v>
      </c>
      <c r="E103" s="2" t="s">
        <v>337</v>
      </c>
      <c r="F103" s="2" t="n">
        <v>1</v>
      </c>
      <c r="G103" s="2"/>
    </row>
    <row r="104" customFormat="false" ht="22.5" hidden="false" customHeight="true" outlineLevel="0" collapsed="false">
      <c r="A104" s="2" t="n">
        <v>310991057</v>
      </c>
      <c r="B104" s="2" t="s">
        <v>338</v>
      </c>
      <c r="C104" s="2" t="s">
        <v>270</v>
      </c>
      <c r="D104" s="3" t="s">
        <v>339</v>
      </c>
      <c r="E104" s="2" t="s">
        <v>340</v>
      </c>
      <c r="F104" s="2" t="n">
        <v>1</v>
      </c>
      <c r="G104" s="2"/>
    </row>
    <row r="105" customFormat="false" ht="22.5" hidden="false" customHeight="true" outlineLevel="0" collapsed="false">
      <c r="A105" s="2" t="n">
        <v>311020518</v>
      </c>
      <c r="B105" s="2" t="s">
        <v>341</v>
      </c>
      <c r="C105" s="2" t="s">
        <v>342</v>
      </c>
      <c r="D105" s="3" t="s">
        <v>343</v>
      </c>
      <c r="E105" s="2" t="s">
        <v>344</v>
      </c>
      <c r="F105" s="2" t="n">
        <v>2</v>
      </c>
      <c r="G105" s="2"/>
    </row>
    <row r="106" customFormat="false" ht="22.5" hidden="false" customHeight="true" outlineLevel="0" collapsed="false">
      <c r="A106" s="2" t="n">
        <v>319015079</v>
      </c>
      <c r="B106" s="2" t="s">
        <v>345</v>
      </c>
      <c r="F106" s="2" t="n">
        <v>1</v>
      </c>
      <c r="G106" s="2"/>
    </row>
    <row r="107" customFormat="false" ht="22.5" hidden="false" customHeight="true" outlineLevel="0" collapsed="false">
      <c r="A107" s="2" t="n">
        <v>320010943</v>
      </c>
      <c r="B107" s="2" t="s">
        <v>346</v>
      </c>
      <c r="C107" s="2" t="s">
        <v>347</v>
      </c>
      <c r="D107" s="3" t="s">
        <v>348</v>
      </c>
      <c r="E107" s="2" t="s">
        <v>349</v>
      </c>
      <c r="F107" s="2" t="n">
        <v>1</v>
      </c>
      <c r="G107" s="2"/>
    </row>
    <row r="108" customFormat="false" ht="22.5" hidden="false" customHeight="true" outlineLevel="0" collapsed="false">
      <c r="A108" s="2" t="n">
        <v>320020078</v>
      </c>
      <c r="B108" s="2" t="s">
        <v>350</v>
      </c>
      <c r="C108" s="2" t="s">
        <v>351</v>
      </c>
      <c r="D108" s="3" t="s">
        <v>352</v>
      </c>
      <c r="E108" s="2" t="s">
        <v>353</v>
      </c>
      <c r="F108" s="2" t="n">
        <v>1</v>
      </c>
      <c r="G108" s="2"/>
    </row>
    <row r="109" customFormat="false" ht="22.5" hidden="false" customHeight="true" outlineLevel="0" collapsed="false">
      <c r="A109" s="2" t="n">
        <v>320030424</v>
      </c>
      <c r="B109" s="2" t="s">
        <v>354</v>
      </c>
      <c r="C109" s="2" t="s">
        <v>351</v>
      </c>
      <c r="D109" s="6" t="s">
        <v>355</v>
      </c>
      <c r="E109" s="2" t="s">
        <v>356</v>
      </c>
      <c r="F109" s="2" t="n">
        <v>2</v>
      </c>
      <c r="G109" s="2"/>
    </row>
    <row r="110" customFormat="false" ht="22.5" hidden="false" customHeight="true" outlineLevel="0" collapsed="false">
      <c r="A110" s="2" t="n">
        <v>320060764</v>
      </c>
      <c r="B110" s="2" t="s">
        <v>357</v>
      </c>
      <c r="C110" s="2" t="s">
        <v>358</v>
      </c>
      <c r="D110" s="6" t="s">
        <v>359</v>
      </c>
      <c r="E110" s="2" t="s">
        <v>360</v>
      </c>
      <c r="F110" s="2" t="n">
        <v>1</v>
      </c>
      <c r="G110" s="2"/>
    </row>
    <row r="111" customFormat="false" ht="22.5" hidden="false" customHeight="true" outlineLevel="0" collapsed="false">
      <c r="A111" s="2" t="n">
        <v>320090416</v>
      </c>
      <c r="B111" s="2" t="s">
        <v>361</v>
      </c>
      <c r="C111" s="2" t="s">
        <v>362</v>
      </c>
      <c r="D111" s="5" t="s">
        <v>363</v>
      </c>
      <c r="E111" s="2" t="s">
        <v>364</v>
      </c>
      <c r="F111" s="2" t="n">
        <v>1</v>
      </c>
      <c r="G111" s="2"/>
    </row>
    <row r="112" customFormat="false" ht="22.5" hidden="false" customHeight="true" outlineLevel="0" collapsed="false">
      <c r="A112" s="2" t="n">
        <v>320111630</v>
      </c>
      <c r="B112" s="2" t="s">
        <v>365</v>
      </c>
      <c r="C112" s="2" t="s">
        <v>366</v>
      </c>
      <c r="D112" s="4" t="s">
        <v>367</v>
      </c>
      <c r="E112" s="2" t="s">
        <v>368</v>
      </c>
      <c r="F112" s="2" t="n">
        <v>1</v>
      </c>
      <c r="G112" s="2"/>
    </row>
    <row r="113" customFormat="false" ht="22.5" hidden="false" customHeight="true" outlineLevel="0" collapsed="false">
      <c r="A113" s="2" t="n">
        <v>320111970</v>
      </c>
      <c r="B113" s="2" t="s">
        <v>369</v>
      </c>
      <c r="C113" s="2" t="s">
        <v>351</v>
      </c>
      <c r="D113" s="6" t="s">
        <v>370</v>
      </c>
      <c r="E113" s="2" t="s">
        <v>371</v>
      </c>
      <c r="F113" s="2" t="n">
        <v>1</v>
      </c>
      <c r="G113" s="2"/>
    </row>
    <row r="114" customFormat="false" ht="22.5" hidden="false" customHeight="true" outlineLevel="0" collapsed="false">
      <c r="A114" s="2" t="n">
        <v>320140517</v>
      </c>
      <c r="B114" s="2" t="s">
        <v>372</v>
      </c>
      <c r="C114" s="2" t="s">
        <v>373</v>
      </c>
      <c r="D114" s="5" t="s">
        <v>374</v>
      </c>
      <c r="E114" s="2" t="s">
        <v>375</v>
      </c>
      <c r="F114" s="2" t="n">
        <v>1</v>
      </c>
      <c r="G114" s="2"/>
    </row>
    <row r="115" customFormat="false" ht="22.5" hidden="false" customHeight="true" outlineLevel="0" collapsed="false">
      <c r="A115" s="2" t="n">
        <v>320210541</v>
      </c>
      <c r="B115" s="2" t="s">
        <v>376</v>
      </c>
      <c r="C115" s="2" t="s">
        <v>377</v>
      </c>
      <c r="D115" s="3" t="s">
        <v>378</v>
      </c>
      <c r="E115" s="2" t="s">
        <v>379</v>
      </c>
      <c r="F115" s="2" t="n">
        <v>1</v>
      </c>
      <c r="G115" s="2"/>
    </row>
    <row r="116" customFormat="false" ht="22.5" hidden="false" customHeight="true" outlineLevel="0" collapsed="false">
      <c r="A116" s="2" t="n">
        <v>326050927</v>
      </c>
      <c r="B116" s="2" t="s">
        <v>380</v>
      </c>
      <c r="C116" s="2" t="s">
        <v>366</v>
      </c>
      <c r="D116" s="4" t="s">
        <v>381</v>
      </c>
      <c r="E116" s="2" t="s">
        <v>382</v>
      </c>
      <c r="F116" s="2" t="n">
        <v>1</v>
      </c>
      <c r="G116" s="2"/>
    </row>
  </sheetData>
  <dataValidations count="1">
    <dataValidation allowBlank="true" errorStyle="stop" operator="between" showDropDown="true" showErrorMessage="false" showInputMessage="false" sqref="A2:A116 F2:F116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8" activeCellId="0" sqref="H8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0" width="22.51"/>
    <col collapsed="false" customWidth="true" hidden="false" outlineLevel="0" max="2" min="2" style="0" width="34.06"/>
  </cols>
  <sheetData>
    <row r="1" customFormat="false" ht="22.5" hidden="false" customHeight="true" outlineLevel="0" collapsed="false">
      <c r="A1" s="1" t="s">
        <v>383</v>
      </c>
      <c r="B1" s="1" t="s">
        <v>1</v>
      </c>
      <c r="C1" s="1" t="s">
        <v>384</v>
      </c>
      <c r="D1" s="1" t="s">
        <v>385</v>
      </c>
    </row>
    <row r="2" customFormat="false" ht="22.5" hidden="false" customHeight="true" outlineLevel="0" collapsed="false">
      <c r="A2" s="2" t="s">
        <v>386</v>
      </c>
      <c r="B2" s="2" t="s">
        <v>387</v>
      </c>
      <c r="C2" s="7" t="n">
        <v>1</v>
      </c>
      <c r="D2" s="7"/>
    </row>
    <row r="3" customFormat="false" ht="22.5" hidden="false" customHeight="true" outlineLevel="0" collapsed="false">
      <c r="A3" s="2" t="s">
        <v>388</v>
      </c>
      <c r="B3" s="2" t="s">
        <v>389</v>
      </c>
      <c r="C3" s="8" t="n">
        <v>2</v>
      </c>
      <c r="D3" s="8"/>
    </row>
    <row r="4" customFormat="false" ht="22.5" hidden="false" customHeight="true" outlineLevel="0" collapsed="false">
      <c r="A4" s="2" t="s">
        <v>390</v>
      </c>
      <c r="B4" s="2" t="s">
        <v>391</v>
      </c>
      <c r="C4" s="7" t="n">
        <v>1</v>
      </c>
      <c r="D4" s="7"/>
    </row>
    <row r="5" customFormat="false" ht="22.5" hidden="false" customHeight="true" outlineLevel="0" collapsed="false">
      <c r="A5" s="2" t="s">
        <v>392</v>
      </c>
      <c r="B5" s="2" t="s">
        <v>393</v>
      </c>
      <c r="C5" s="7" t="n">
        <v>1</v>
      </c>
      <c r="D5" s="7"/>
    </row>
    <row r="6" customFormat="false" ht="22.5" hidden="false" customHeight="true" outlineLevel="0" collapsed="false">
      <c r="A6" s="2" t="s">
        <v>394</v>
      </c>
      <c r="B6" s="2" t="s">
        <v>395</v>
      </c>
      <c r="C6" s="7" t="n">
        <v>1</v>
      </c>
      <c r="D6" s="7"/>
    </row>
    <row r="7" customFormat="false" ht="22.5" hidden="false" customHeight="true" outlineLevel="0" collapsed="false">
      <c r="A7" s="9" t="s">
        <v>396</v>
      </c>
      <c r="B7" s="2"/>
      <c r="C7" s="7"/>
      <c r="D7" s="7"/>
    </row>
    <row r="8" customFormat="false" ht="22.5" hidden="false" customHeight="true" outlineLevel="0" collapsed="false">
      <c r="A8" s="2" t="s">
        <v>339</v>
      </c>
      <c r="B8" s="2" t="s">
        <v>397</v>
      </c>
      <c r="C8" s="7" t="n">
        <v>1</v>
      </c>
      <c r="D8" s="7"/>
    </row>
    <row r="9" customFormat="false" ht="22.5" hidden="false" customHeight="true" outlineLevel="0" collapsed="false">
      <c r="A9" s="2" t="s">
        <v>322</v>
      </c>
      <c r="B9" s="2" t="s">
        <v>398</v>
      </c>
      <c r="C9" s="7" t="n">
        <v>1</v>
      </c>
      <c r="D9" s="7"/>
    </row>
    <row r="10" customFormat="false" ht="22.5" hidden="false" customHeight="true" outlineLevel="0" collapsed="false">
      <c r="A10" s="2" t="s">
        <v>242</v>
      </c>
      <c r="B10" s="2" t="s">
        <v>399</v>
      </c>
      <c r="C10" s="7" t="n">
        <v>1</v>
      </c>
      <c r="D10" s="7"/>
    </row>
    <row r="11" customFormat="false" ht="22.5" hidden="false" customHeight="true" outlineLevel="0" collapsed="false">
      <c r="A11" s="2" t="s">
        <v>246</v>
      </c>
      <c r="B11" s="2" t="s">
        <v>400</v>
      </c>
      <c r="C11" s="8" t="n">
        <v>13</v>
      </c>
      <c r="D11" s="8"/>
    </row>
    <row r="12" customFormat="false" ht="22.5" hidden="false" customHeight="true" outlineLevel="0" collapsed="false">
      <c r="A12" s="2" t="s">
        <v>250</v>
      </c>
      <c r="B12" s="2" t="s">
        <v>401</v>
      </c>
      <c r="C12" s="7" t="n">
        <v>4</v>
      </c>
      <c r="D12" s="7"/>
    </row>
    <row r="13" customFormat="false" ht="22.5" hidden="false" customHeight="true" outlineLevel="0" collapsed="false">
      <c r="A13" s="2" t="s">
        <v>254</v>
      </c>
      <c r="B13" s="2" t="s">
        <v>399</v>
      </c>
      <c r="C13" s="7" t="n">
        <v>4</v>
      </c>
      <c r="D13" s="7"/>
    </row>
    <row r="14" customFormat="false" ht="22.5" hidden="false" customHeight="true" outlineLevel="0" collapsed="false">
      <c r="A14" s="2" t="s">
        <v>299</v>
      </c>
      <c r="B14" s="2" t="s">
        <v>402</v>
      </c>
      <c r="C14" s="7" t="n">
        <v>1</v>
      </c>
      <c r="D14" s="7"/>
    </row>
    <row r="15" customFormat="false" ht="22.5" hidden="false" customHeight="true" outlineLevel="0" collapsed="false">
      <c r="A15" s="9" t="s">
        <v>303</v>
      </c>
      <c r="B15" s="9" t="s">
        <v>403</v>
      </c>
      <c r="C15" s="8" t="n">
        <v>6</v>
      </c>
      <c r="D15" s="8"/>
    </row>
    <row r="16" customFormat="false" ht="22.5" hidden="false" customHeight="true" outlineLevel="0" collapsed="false">
      <c r="A16" s="9" t="s">
        <v>404</v>
      </c>
      <c r="B16" s="9" t="s">
        <v>405</v>
      </c>
      <c r="C16" s="8" t="n">
        <v>6</v>
      </c>
      <c r="D16" s="8"/>
    </row>
    <row r="17" customFormat="false" ht="22.5" hidden="false" customHeight="true" outlineLevel="0" collapsed="false">
      <c r="A17" s="2" t="s">
        <v>296</v>
      </c>
      <c r="B17" s="2" t="s">
        <v>406</v>
      </c>
      <c r="C17" s="7" t="n">
        <v>1</v>
      </c>
      <c r="D17" s="7"/>
    </row>
    <row r="18" customFormat="false" ht="22.5" hidden="false" customHeight="true" outlineLevel="0" collapsed="false">
      <c r="A18" s="2" t="s">
        <v>336</v>
      </c>
      <c r="B18" s="2" t="s">
        <v>406</v>
      </c>
      <c r="C18" s="7" t="n">
        <v>1</v>
      </c>
      <c r="D18" s="7"/>
    </row>
    <row r="19" customFormat="false" ht="22.5" hidden="false" customHeight="true" outlineLevel="0" collapsed="false">
      <c r="A19" s="2" t="s">
        <v>287</v>
      </c>
      <c r="B19" s="2" t="s">
        <v>407</v>
      </c>
      <c r="C19" s="7" t="n">
        <v>1</v>
      </c>
      <c r="D19" s="7"/>
    </row>
    <row r="20" customFormat="false" ht="22.5" hidden="false" customHeight="true" outlineLevel="0" collapsed="false">
      <c r="A20" s="2" t="s">
        <v>284</v>
      </c>
      <c r="B20" s="2" t="s">
        <v>408</v>
      </c>
      <c r="C20" s="7" t="n">
        <v>1</v>
      </c>
      <c r="D20" s="7"/>
    </row>
    <row r="21" customFormat="false" ht="22.5" hidden="false" customHeight="true" outlineLevel="0" collapsed="false">
      <c r="A21" s="2" t="s">
        <v>293</v>
      </c>
      <c r="B21" s="2" t="s">
        <v>409</v>
      </c>
      <c r="C21" s="7" t="n">
        <v>1</v>
      </c>
      <c r="D21" s="7"/>
    </row>
    <row r="22" customFormat="false" ht="22.5" hidden="false" customHeight="true" outlineLevel="0" collapsed="false">
      <c r="A22" s="2" t="s">
        <v>410</v>
      </c>
      <c r="B22" s="2" t="s">
        <v>411</v>
      </c>
      <c r="C22" s="7" t="n">
        <v>1</v>
      </c>
      <c r="D22" s="7"/>
    </row>
    <row r="23" customFormat="false" ht="22.5" hidden="false" customHeight="true" outlineLevel="0" collapsed="false">
      <c r="A23" s="2" t="s">
        <v>290</v>
      </c>
      <c r="B23" s="2"/>
      <c r="C23" s="7"/>
      <c r="D23" s="7"/>
    </row>
    <row r="24" customFormat="false" ht="22.5" hidden="false" customHeight="true" outlineLevel="0" collapsed="false">
      <c r="A24" s="2" t="s">
        <v>314</v>
      </c>
      <c r="B24" s="2"/>
      <c r="C24" s="7"/>
      <c r="D24" s="7"/>
    </row>
    <row r="25" customFormat="false" ht="22.5" hidden="false" customHeight="true" outlineLevel="0" collapsed="false">
      <c r="A25" s="2" t="s">
        <v>326</v>
      </c>
      <c r="B25" s="2"/>
      <c r="C25" s="7"/>
      <c r="D25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30.7"/>
    <col collapsed="false" customWidth="true" hidden="false" outlineLevel="0" max="3" min="3" style="0" width="13.88"/>
    <col collapsed="false" customWidth="true" hidden="false" outlineLevel="0" max="4" min="4" style="0" width="25.38"/>
    <col collapsed="false" customWidth="true" hidden="false" outlineLevel="0" max="5" min="5" style="0" width="26.74"/>
    <col collapsed="false" customWidth="true" hidden="false" outlineLevel="0" max="6" min="6" style="0" width="27.38"/>
    <col collapsed="false" customWidth="true" hidden="false" outlineLevel="0" max="7" min="7" style="0" width="30.13"/>
    <col collapsed="false" customWidth="true" hidden="false" outlineLevel="0" max="8" min="8" style="0" width="28.38"/>
    <col collapsed="false" customWidth="true" hidden="false" outlineLevel="0" max="9" min="9" style="0" width="23.13"/>
    <col collapsed="false" customWidth="true" hidden="false" outlineLevel="0" max="10" min="10" style="0" width="25.63"/>
    <col collapsed="false" customWidth="true" hidden="false" outlineLevel="0" max="11" min="11" style="0" width="26.13"/>
    <col collapsed="false" customWidth="true" hidden="false" outlineLevel="0" max="12" min="12" style="0" width="27.25"/>
    <col collapsed="false" customWidth="true" hidden="false" outlineLevel="0" max="13" min="13" style="0" width="28.98"/>
    <col collapsed="false" customWidth="true" hidden="false" outlineLevel="0" max="14" min="14" style="0" width="29.5"/>
    <col collapsed="false" customWidth="true" hidden="false" outlineLevel="0" max="15" min="15" style="0" width="37.13"/>
    <col collapsed="false" customWidth="true" hidden="false" outlineLevel="0" max="16" min="16" style="0" width="35.25"/>
  </cols>
  <sheetData>
    <row r="1" customFormat="false" ht="22.5" hidden="false" customHeight="true" outlineLevel="0" collapsed="false">
      <c r="A1" s="1" t="s">
        <v>383</v>
      </c>
      <c r="B1" s="1" t="s">
        <v>1</v>
      </c>
      <c r="C1" s="1" t="s">
        <v>412</v>
      </c>
      <c r="D1" s="1" t="s">
        <v>384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  <c r="K1" s="10" t="s">
        <v>419</v>
      </c>
      <c r="L1" s="10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</row>
    <row r="2" customFormat="false" ht="22.5" hidden="false" customHeight="true" outlineLevel="0" collapsed="false">
      <c r="A2" s="11" t="s">
        <v>386</v>
      </c>
      <c r="B2" s="11" t="s">
        <v>387</v>
      </c>
      <c r="C2" s="11"/>
      <c r="D2" s="12" t="n">
        <v>1</v>
      </c>
      <c r="E2" s="12" t="n">
        <v>2.7</v>
      </c>
      <c r="F2" s="12" t="n">
        <v>3.3</v>
      </c>
      <c r="G2" s="13" t="n">
        <v>5</v>
      </c>
      <c r="H2" s="11" t="n">
        <v>26</v>
      </c>
      <c r="I2" s="12" t="n">
        <f aca="false">E2*G2</f>
        <v>13.5</v>
      </c>
      <c r="J2" s="13" t="n">
        <f aca="false">F2*H2</f>
        <v>85.8</v>
      </c>
      <c r="K2" s="11" t="n">
        <f aca="false">D2*I2</f>
        <v>13.5</v>
      </c>
      <c r="L2" s="11" t="n">
        <f aca="false">J2*D2</f>
        <v>85.8</v>
      </c>
      <c r="M2" s="11"/>
      <c r="N2" s="11"/>
      <c r="O2" s="11"/>
      <c r="P2" s="11"/>
      <c r="Q2" s="11"/>
    </row>
    <row r="3" customFormat="false" ht="22.5" hidden="false" customHeight="true" outlineLevel="0" collapsed="false">
      <c r="A3" s="11" t="s">
        <v>388</v>
      </c>
      <c r="B3" s="11" t="s">
        <v>426</v>
      </c>
      <c r="C3" s="11"/>
      <c r="D3" s="12" t="n">
        <v>2</v>
      </c>
      <c r="E3" s="12" t="n">
        <v>0.9</v>
      </c>
      <c r="F3" s="12" t="n">
        <v>3.3</v>
      </c>
      <c r="G3" s="13" t="n">
        <v>1</v>
      </c>
      <c r="H3" s="11" t="n">
        <v>1</v>
      </c>
      <c r="I3" s="12" t="n">
        <f aca="false">E3*G3</f>
        <v>0.9</v>
      </c>
      <c r="J3" s="13" t="n">
        <f aca="false">F3*H3</f>
        <v>3.3</v>
      </c>
      <c r="K3" s="11" t="n">
        <f aca="false">D3*I3</f>
        <v>1.8</v>
      </c>
      <c r="L3" s="11" t="n">
        <f aca="false">J3*D3</f>
        <v>6.6</v>
      </c>
      <c r="M3" s="11"/>
      <c r="N3" s="11"/>
      <c r="O3" s="11"/>
      <c r="P3" s="11"/>
      <c r="Q3" s="11"/>
    </row>
    <row r="4" customFormat="false" ht="22.5" hidden="false" customHeight="true" outlineLevel="0" collapsed="false">
      <c r="A4" s="11" t="s">
        <v>388</v>
      </c>
      <c r="B4" s="11" t="s">
        <v>427</v>
      </c>
      <c r="C4" s="11"/>
      <c r="D4" s="12" t="n">
        <v>2</v>
      </c>
      <c r="E4" s="12" t="n">
        <v>2.7</v>
      </c>
      <c r="F4" s="12" t="n">
        <v>3.3</v>
      </c>
      <c r="G4" s="13" t="n">
        <v>1.5</v>
      </c>
      <c r="H4" s="11" t="n">
        <v>5</v>
      </c>
      <c r="I4" s="12" t="n">
        <f aca="false">E4*G4</f>
        <v>4.05</v>
      </c>
      <c r="J4" s="13" t="n">
        <f aca="false">F4*H4</f>
        <v>16.5</v>
      </c>
      <c r="K4" s="11" t="n">
        <f aca="false">D4*I4</f>
        <v>8.1</v>
      </c>
      <c r="L4" s="11" t="n">
        <f aca="false">J4*D4</f>
        <v>33</v>
      </c>
      <c r="M4" s="11"/>
      <c r="N4" s="11"/>
      <c r="O4" s="11"/>
      <c r="P4" s="11"/>
      <c r="Q4" s="11"/>
    </row>
    <row r="5" customFormat="false" ht="22.5" hidden="false" customHeight="true" outlineLevel="0" collapsed="false">
      <c r="A5" s="11" t="s">
        <v>390</v>
      </c>
      <c r="B5" s="11" t="s">
        <v>391</v>
      </c>
      <c r="C5" s="11"/>
      <c r="D5" s="12" t="n">
        <v>1</v>
      </c>
      <c r="E5" s="12" t="n">
        <v>3</v>
      </c>
      <c r="F5" s="12" t="n">
        <v>3.3</v>
      </c>
      <c r="G5" s="13" t="n">
        <v>6</v>
      </c>
      <c r="H5" s="12" t="n">
        <v>6</v>
      </c>
      <c r="I5" s="12" t="n">
        <f aca="false">E5*G5</f>
        <v>18</v>
      </c>
      <c r="J5" s="13" t="n">
        <f aca="false">F5*H5</f>
        <v>19.8</v>
      </c>
      <c r="K5" s="11" t="n">
        <f aca="false">D5*I5</f>
        <v>18</v>
      </c>
      <c r="L5" s="11" t="n">
        <f aca="false">J5*D5</f>
        <v>19.8</v>
      </c>
      <c r="M5" s="11"/>
      <c r="N5" s="11"/>
      <c r="O5" s="11"/>
      <c r="P5" s="11"/>
      <c r="Q5" s="11"/>
    </row>
    <row r="6" customFormat="false" ht="22.5" hidden="false" customHeight="true" outlineLevel="0" collapsed="false">
      <c r="A6" s="11" t="s">
        <v>392</v>
      </c>
      <c r="B6" s="11" t="s">
        <v>393</v>
      </c>
      <c r="C6" s="11"/>
      <c r="D6" s="12" t="n">
        <v>1</v>
      </c>
      <c r="E6" s="12" t="n">
        <v>1.4</v>
      </c>
      <c r="F6" s="12" t="n">
        <v>3.3</v>
      </c>
      <c r="G6" s="13" t="n">
        <v>0.015</v>
      </c>
      <c r="H6" s="12" t="n">
        <v>0.085</v>
      </c>
      <c r="I6" s="12" t="n">
        <f aca="false">E6*G6</f>
        <v>0.021</v>
      </c>
      <c r="J6" s="13" t="n">
        <f aca="false">F6*H6</f>
        <v>0.2805</v>
      </c>
      <c r="K6" s="11" t="n">
        <f aca="false">D6*I6</f>
        <v>0.021</v>
      </c>
      <c r="L6" s="11" t="n">
        <f aca="false">J6*D6</f>
        <v>0.2805</v>
      </c>
      <c r="M6" s="11"/>
      <c r="N6" s="11"/>
      <c r="O6" s="11"/>
      <c r="P6" s="11"/>
      <c r="Q6" s="11"/>
    </row>
    <row r="7" customFormat="false" ht="22.5" hidden="false" customHeight="true" outlineLevel="0" collapsed="false">
      <c r="A7" s="11" t="s">
        <v>394</v>
      </c>
      <c r="B7" s="11" t="s">
        <v>395</v>
      </c>
      <c r="C7" s="14" t="s">
        <v>428</v>
      </c>
      <c r="D7" s="12" t="n">
        <v>8</v>
      </c>
      <c r="E7" s="12" t="n">
        <v>3.3</v>
      </c>
      <c r="F7" s="12" t="n">
        <v>5</v>
      </c>
      <c r="G7" s="13" t="n">
        <v>0.33</v>
      </c>
      <c r="H7" s="12" t="n">
        <v>0.42</v>
      </c>
      <c r="I7" s="12" t="n">
        <f aca="false">E7*G7</f>
        <v>1.089</v>
      </c>
      <c r="J7" s="13" t="n">
        <f aca="false">F7*H7</f>
        <v>2.1</v>
      </c>
      <c r="K7" s="11" t="n">
        <f aca="false">D7*I7</f>
        <v>8.712</v>
      </c>
      <c r="L7" s="11" t="n">
        <f aca="false">J7*D7</f>
        <v>16.8</v>
      </c>
      <c r="M7" s="11"/>
      <c r="N7" s="11"/>
      <c r="O7" s="11"/>
      <c r="P7" s="11"/>
      <c r="Q7" s="11"/>
    </row>
    <row r="8" customFormat="false" ht="22.5" hidden="false" customHeight="true" outlineLevel="0" collapsed="false">
      <c r="A8" s="15" t="s">
        <v>339</v>
      </c>
      <c r="B8" s="15" t="s">
        <v>397</v>
      </c>
      <c r="C8" s="14" t="s">
        <v>429</v>
      </c>
      <c r="D8" s="12" t="n">
        <v>1</v>
      </c>
      <c r="E8" s="12"/>
      <c r="F8" s="12"/>
      <c r="G8" s="13"/>
      <c r="H8" s="12"/>
      <c r="I8" s="12"/>
      <c r="J8" s="13"/>
      <c r="K8" s="11" t="n">
        <f aca="false">D8*I8</f>
        <v>0</v>
      </c>
      <c r="L8" s="11" t="n">
        <f aca="false">J8*D8</f>
        <v>0</v>
      </c>
      <c r="M8" s="11"/>
      <c r="N8" s="11"/>
      <c r="O8" s="11"/>
      <c r="P8" s="11" t="n">
        <v>-40</v>
      </c>
      <c r="Q8" s="11" t="n">
        <v>125</v>
      </c>
    </row>
    <row r="9" customFormat="false" ht="22.5" hidden="false" customHeight="true" outlineLevel="0" collapsed="false">
      <c r="A9" s="11" t="s">
        <v>322</v>
      </c>
      <c r="B9" s="11" t="s">
        <v>430</v>
      </c>
      <c r="C9" s="11"/>
      <c r="D9" s="12" t="n">
        <v>1</v>
      </c>
      <c r="E9" s="12" t="n">
        <v>1.7</v>
      </c>
      <c r="F9" s="12" t="n">
        <v>3.3</v>
      </c>
      <c r="G9" s="13" t="n">
        <v>0.4</v>
      </c>
      <c r="H9" s="12" t="n">
        <v>1</v>
      </c>
      <c r="I9" s="12" t="n">
        <f aca="false">E9*G9</f>
        <v>0.68</v>
      </c>
      <c r="J9" s="13" t="n">
        <f aca="false">F9*H9</f>
        <v>3.3</v>
      </c>
      <c r="K9" s="11" t="n">
        <f aca="false">D9*I9</f>
        <v>0.68</v>
      </c>
      <c r="L9" s="11" t="n">
        <f aca="false">J9*D9</f>
        <v>3.3</v>
      </c>
      <c r="M9" s="11"/>
      <c r="N9" s="11"/>
      <c r="O9" s="11"/>
      <c r="P9" s="11"/>
      <c r="Q9" s="11"/>
    </row>
    <row r="10" customFormat="false" ht="22.5" hidden="false" customHeight="true" outlineLevel="0" collapsed="false">
      <c r="A10" s="11" t="s">
        <v>322</v>
      </c>
      <c r="B10" s="11" t="s">
        <v>431</v>
      </c>
      <c r="C10" s="11"/>
      <c r="D10" s="12" t="n">
        <v>1</v>
      </c>
      <c r="E10" s="12" t="n">
        <v>1.7</v>
      </c>
      <c r="F10" s="12" t="n">
        <v>3.3</v>
      </c>
      <c r="G10" s="13" t="n">
        <v>2</v>
      </c>
      <c r="H10" s="12" t="n">
        <v>3</v>
      </c>
      <c r="I10" s="12" t="n">
        <f aca="false">E10*G10</f>
        <v>3.4</v>
      </c>
      <c r="J10" s="13" t="n">
        <f aca="false">F10*H10</f>
        <v>9.9</v>
      </c>
      <c r="K10" s="11" t="n">
        <f aca="false">D10*I10</f>
        <v>3.4</v>
      </c>
      <c r="L10" s="11" t="n">
        <f aca="false">J10*D10</f>
        <v>9.9</v>
      </c>
      <c r="M10" s="11"/>
      <c r="N10" s="11"/>
      <c r="O10" s="11"/>
      <c r="P10" s="11"/>
      <c r="Q10" s="11"/>
    </row>
    <row r="11" customFormat="false" ht="22.5" hidden="false" customHeight="true" outlineLevel="0" collapsed="false">
      <c r="A11" s="11" t="s">
        <v>299</v>
      </c>
      <c r="B11" s="11" t="s">
        <v>402</v>
      </c>
      <c r="C11" s="11"/>
      <c r="D11" s="12" t="n">
        <v>1</v>
      </c>
      <c r="E11" s="12" t="n">
        <v>1.65</v>
      </c>
      <c r="F11" s="12" t="n">
        <v>3.3</v>
      </c>
      <c r="G11" s="13" t="n">
        <v>0.01</v>
      </c>
      <c r="H11" s="12" t="n">
        <v>0.01</v>
      </c>
      <c r="I11" s="12" t="n">
        <f aca="false">E11*G11</f>
        <v>0.0165</v>
      </c>
      <c r="J11" s="13" t="n">
        <f aca="false">F11*H11</f>
        <v>0.033</v>
      </c>
      <c r="K11" s="11" t="n">
        <f aca="false">D11*I11</f>
        <v>0.0165</v>
      </c>
      <c r="L11" s="11" t="n">
        <f aca="false">J11*D11</f>
        <v>0.033</v>
      </c>
      <c r="M11" s="11"/>
      <c r="N11" s="11"/>
      <c r="O11" s="11"/>
      <c r="P11" s="11"/>
      <c r="Q11" s="11"/>
    </row>
    <row r="12" customFormat="false" ht="22.5" hidden="false" customHeight="true" outlineLevel="0" collapsed="false">
      <c r="A12" s="11" t="s">
        <v>303</v>
      </c>
      <c r="B12" s="11" t="s">
        <v>432</v>
      </c>
      <c r="C12" s="11"/>
      <c r="D12" s="12" t="n">
        <v>6</v>
      </c>
      <c r="E12" s="12" t="n">
        <v>1.2</v>
      </c>
      <c r="F12" s="12" t="n">
        <v>3.3</v>
      </c>
      <c r="G12" s="13" t="n">
        <v>6E-005</v>
      </c>
      <c r="H12" s="12" t="n">
        <v>0.005</v>
      </c>
      <c r="I12" s="12" t="n">
        <f aca="false">E12*G12</f>
        <v>7.2E-005</v>
      </c>
      <c r="J12" s="13" t="n">
        <f aca="false">F12*H12</f>
        <v>0.0165</v>
      </c>
      <c r="K12" s="11" t="n">
        <f aca="false">D12*I12</f>
        <v>0.000432</v>
      </c>
      <c r="L12" s="11" t="n">
        <f aca="false">J12*D12</f>
        <v>0.099</v>
      </c>
      <c r="M12" s="11"/>
      <c r="N12" s="11"/>
      <c r="O12" s="11"/>
      <c r="P12" s="11"/>
      <c r="Q12" s="11"/>
    </row>
    <row r="13" customFormat="false" ht="22.5" hidden="false" customHeight="true" outlineLevel="0" collapsed="false">
      <c r="A13" s="11" t="s">
        <v>303</v>
      </c>
      <c r="B13" s="11" t="s">
        <v>433</v>
      </c>
      <c r="C13" s="11"/>
      <c r="D13" s="12" t="n">
        <v>6</v>
      </c>
      <c r="E13" s="12" t="n">
        <v>1.65</v>
      </c>
      <c r="F13" s="12" t="n">
        <v>3.3</v>
      </c>
      <c r="G13" s="13" t="n">
        <v>0.0034</v>
      </c>
      <c r="H13" s="12" t="n">
        <v>0.005</v>
      </c>
      <c r="I13" s="12" t="n">
        <f aca="false">E13*G13</f>
        <v>0.00561</v>
      </c>
      <c r="J13" s="13" t="n">
        <f aca="false">F13*H13</f>
        <v>0.0165</v>
      </c>
      <c r="K13" s="11" t="n">
        <f aca="false">D13*I13</f>
        <v>0.03366</v>
      </c>
      <c r="L13" s="11" t="n">
        <f aca="false">J13*D13</f>
        <v>0.099</v>
      </c>
      <c r="M13" s="11"/>
      <c r="N13" s="11"/>
      <c r="O13" s="11"/>
      <c r="P13" s="11"/>
      <c r="Q13" s="11"/>
    </row>
    <row r="14" customFormat="false" ht="22.5" hidden="false" customHeight="true" outlineLevel="0" collapsed="false">
      <c r="A14" s="11" t="s">
        <v>296</v>
      </c>
      <c r="B14" s="11" t="s">
        <v>406</v>
      </c>
      <c r="C14" s="11"/>
      <c r="D14" s="12" t="n">
        <v>1</v>
      </c>
      <c r="E14" s="12" t="n">
        <v>2.3</v>
      </c>
      <c r="F14" s="12" t="n">
        <v>3.3</v>
      </c>
      <c r="G14" s="13" t="n">
        <v>0.12</v>
      </c>
      <c r="H14" s="12" t="n">
        <v>0.22</v>
      </c>
      <c r="I14" s="12" t="n">
        <f aca="false">E14*G14</f>
        <v>0.276</v>
      </c>
      <c r="J14" s="13" t="n">
        <f aca="false">F14*H14</f>
        <v>0.726</v>
      </c>
      <c r="K14" s="11" t="n">
        <f aca="false">D14*I14</f>
        <v>0.276</v>
      </c>
      <c r="L14" s="11" t="n">
        <f aca="false">J14*D14</f>
        <v>0.726</v>
      </c>
      <c r="M14" s="11"/>
      <c r="N14" s="11"/>
      <c r="O14" s="11"/>
      <c r="P14" s="11"/>
      <c r="Q14" s="11"/>
    </row>
    <row r="15" customFormat="false" ht="22.5" hidden="false" customHeight="true" outlineLevel="0" collapsed="false">
      <c r="A15" s="11" t="s">
        <v>336</v>
      </c>
      <c r="B15" s="11" t="s">
        <v>406</v>
      </c>
      <c r="C15" s="16"/>
      <c r="D15" s="12" t="n">
        <v>1</v>
      </c>
      <c r="E15" s="17" t="n">
        <v>2.5</v>
      </c>
      <c r="F15" s="17" t="n">
        <v>3.3</v>
      </c>
      <c r="G15" s="18" t="n">
        <v>50</v>
      </c>
      <c r="H15" s="17" t="n">
        <v>300</v>
      </c>
      <c r="I15" s="17" t="n">
        <f aca="false">(F15-2.5)*G15</f>
        <v>40</v>
      </c>
      <c r="J15" s="18" t="n">
        <f aca="false">(F15-2.5)*H15</f>
        <v>240</v>
      </c>
      <c r="K15" s="16" t="n">
        <f aca="false">D15*I15</f>
        <v>40</v>
      </c>
      <c r="L15" s="16" t="n">
        <f aca="false">J15*D15</f>
        <v>240</v>
      </c>
      <c r="M15" s="16"/>
      <c r="N15" s="16"/>
      <c r="O15" s="16"/>
      <c r="P15" s="16"/>
      <c r="Q15" s="16"/>
    </row>
    <row r="16" customFormat="false" ht="22.5" hidden="false" customHeight="true" outlineLevel="0" collapsed="false">
      <c r="A16" s="11" t="s">
        <v>287</v>
      </c>
      <c r="B16" s="11" t="s">
        <v>407</v>
      </c>
      <c r="C16" s="11"/>
      <c r="D16" s="12" t="n">
        <v>1</v>
      </c>
      <c r="E16" s="12" t="n">
        <v>2.6</v>
      </c>
      <c r="F16" s="12" t="n">
        <v>5</v>
      </c>
      <c r="G16" s="13" t="n">
        <v>1</v>
      </c>
      <c r="H16" s="12" t="n">
        <v>2</v>
      </c>
      <c r="I16" s="12" t="n">
        <f aca="false">E16*G16</f>
        <v>2.6</v>
      </c>
      <c r="J16" s="13" t="n">
        <f aca="false">F16*H16</f>
        <v>10</v>
      </c>
      <c r="K16" s="11" t="n">
        <f aca="false">D16*I16</f>
        <v>2.6</v>
      </c>
      <c r="L16" s="11" t="n">
        <f aca="false">J16*D16</f>
        <v>10</v>
      </c>
      <c r="M16" s="11"/>
      <c r="N16" s="11"/>
      <c r="O16" s="11"/>
      <c r="P16" s="11"/>
      <c r="Q16" s="11"/>
    </row>
    <row r="17" customFormat="false" ht="22.5" hidden="false" customHeight="true" outlineLevel="0" collapsed="false">
      <c r="A17" s="11" t="s">
        <v>284</v>
      </c>
      <c r="B17" s="11" t="s">
        <v>408</v>
      </c>
      <c r="C17" s="14" t="s">
        <v>434</v>
      </c>
      <c r="D17" s="2" t="n">
        <v>1</v>
      </c>
      <c r="E17" s="12" t="n">
        <v>2.5</v>
      </c>
      <c r="F17" s="12" t="n">
        <v>5</v>
      </c>
      <c r="G17" s="13" t="n">
        <v>0.035</v>
      </c>
      <c r="H17" s="12" t="n">
        <v>0.035</v>
      </c>
      <c r="I17" s="12" t="n">
        <f aca="false">E17*G17</f>
        <v>0.0875</v>
      </c>
      <c r="J17" s="13" t="n">
        <f aca="false">F17*H17</f>
        <v>0.175</v>
      </c>
      <c r="K17" s="11" t="n">
        <f aca="false">D17*I17</f>
        <v>0.0875</v>
      </c>
      <c r="L17" s="11" t="n">
        <f aca="false">J17*D17</f>
        <v>0.175</v>
      </c>
      <c r="M17" s="11"/>
      <c r="N17" s="11"/>
      <c r="O17" s="11"/>
      <c r="P17" s="11" t="n">
        <v>-40</v>
      </c>
      <c r="Q17" s="11" t="n">
        <v>125</v>
      </c>
    </row>
    <row r="18" customFormat="false" ht="22.5" hidden="false" customHeight="true" outlineLevel="0" collapsed="false">
      <c r="A18" s="11" t="s">
        <v>293</v>
      </c>
      <c r="B18" s="11" t="s">
        <v>409</v>
      </c>
      <c r="C18" s="19" t="s">
        <v>435</v>
      </c>
      <c r="D18" s="12" t="n">
        <v>3</v>
      </c>
      <c r="E18" s="12" t="n">
        <v>2.7</v>
      </c>
      <c r="F18" s="12" t="n">
        <v>5</v>
      </c>
      <c r="G18" s="13" t="n">
        <v>0.024</v>
      </c>
      <c r="H18" s="12" t="n">
        <v>0.045</v>
      </c>
      <c r="I18" s="12" t="n">
        <f aca="false">E18*G18</f>
        <v>0.0648</v>
      </c>
      <c r="J18" s="13" t="n">
        <f aca="false">F18*H18</f>
        <v>0.225</v>
      </c>
      <c r="K18" s="11" t="n">
        <f aca="false">D18*I18</f>
        <v>0.1944</v>
      </c>
      <c r="L18" s="11" t="n">
        <f aca="false">J18*D18</f>
        <v>0.675</v>
      </c>
      <c r="M18" s="11"/>
      <c r="N18" s="11"/>
      <c r="O18" s="11"/>
      <c r="P18" s="11" t="n">
        <v>-40</v>
      </c>
      <c r="Q18" s="11" t="n">
        <v>125</v>
      </c>
    </row>
    <row r="19" customFormat="false" ht="22.5" hidden="false" customHeight="true" outlineLevel="0" collapsed="false">
      <c r="A19" s="11" t="s">
        <v>410</v>
      </c>
      <c r="B19" s="11" t="s">
        <v>436</v>
      </c>
      <c r="C19" s="20" t="s">
        <v>437</v>
      </c>
      <c r="D19" s="12" t="n">
        <v>1</v>
      </c>
      <c r="E19" s="12" t="n">
        <v>2.7</v>
      </c>
      <c r="F19" s="12" t="n">
        <v>3.3</v>
      </c>
      <c r="G19" s="13" t="n">
        <v>0.56</v>
      </c>
      <c r="H19" s="12" t="n">
        <v>2.2</v>
      </c>
      <c r="I19" s="12" t="n">
        <f aca="false">E19*G19</f>
        <v>1.512</v>
      </c>
      <c r="J19" s="13" t="n">
        <f aca="false">F19*H19</f>
        <v>7.26</v>
      </c>
      <c r="K19" s="11" t="n">
        <f aca="false">D19*I19</f>
        <v>1.512</v>
      </c>
      <c r="L19" s="11" t="n">
        <f aca="false">J19*D19</f>
        <v>7.26</v>
      </c>
      <c r="M19" s="11"/>
      <c r="N19" s="11"/>
      <c r="O19" s="11"/>
      <c r="P19" s="11"/>
      <c r="Q19" s="21"/>
    </row>
    <row r="20" customFormat="false" ht="22.5" hidden="false" customHeight="true" outlineLevel="0" collapsed="false">
      <c r="A20" s="11" t="s">
        <v>410</v>
      </c>
      <c r="B20" s="11" t="s">
        <v>438</v>
      </c>
      <c r="C20" s="22"/>
      <c r="D20" s="12" t="n">
        <v>1</v>
      </c>
      <c r="E20" s="12" t="n">
        <v>2.7</v>
      </c>
      <c r="F20" s="12" t="n">
        <v>3.3</v>
      </c>
      <c r="G20" s="13" t="n">
        <v>0.96</v>
      </c>
      <c r="H20" s="12" t="n">
        <v>2.5</v>
      </c>
      <c r="I20" s="12" t="n">
        <f aca="false">E20*G20</f>
        <v>2.592</v>
      </c>
      <c r="J20" s="13" t="n">
        <f aca="false">F20*H20</f>
        <v>8.25</v>
      </c>
      <c r="K20" s="11" t="n">
        <f aca="false">D20*I20</f>
        <v>2.592</v>
      </c>
      <c r="L20" s="11" t="n">
        <f aca="false">J20*D20</f>
        <v>8.25</v>
      </c>
      <c r="M20" s="11"/>
      <c r="N20" s="11"/>
      <c r="O20" s="11"/>
      <c r="P20" s="11"/>
      <c r="Q20" s="21"/>
    </row>
    <row r="21" customFormat="false" ht="22.5" hidden="false" customHeight="true" outlineLevel="0" collapsed="false">
      <c r="A21" s="11" t="s">
        <v>410</v>
      </c>
      <c r="B21" s="11" t="s">
        <v>439</v>
      </c>
      <c r="C21" s="23"/>
      <c r="D21" s="12" t="n">
        <v>1</v>
      </c>
      <c r="E21" s="12" t="n">
        <v>2.7</v>
      </c>
      <c r="F21" s="12" t="n">
        <v>3.3</v>
      </c>
      <c r="G21" s="13" t="n">
        <v>0.25</v>
      </c>
      <c r="H21" s="12" t="n">
        <v>0.37</v>
      </c>
      <c r="I21" s="12" t="n">
        <f aca="false">E21*G21</f>
        <v>0.675</v>
      </c>
      <c r="J21" s="13" t="n">
        <f aca="false">F21*H21</f>
        <v>1.221</v>
      </c>
      <c r="K21" s="11" t="n">
        <f aca="false">D21*I21</f>
        <v>0.675</v>
      </c>
      <c r="L21" s="11" t="n">
        <f aca="false">J21*D21</f>
        <v>1.221</v>
      </c>
      <c r="M21" s="11"/>
      <c r="N21" s="11"/>
      <c r="O21" s="11"/>
      <c r="P21" s="11"/>
      <c r="Q21" s="21"/>
    </row>
    <row r="22" customFormat="false" ht="22.5" hidden="false" customHeight="true" outlineLevel="0" collapsed="false">
      <c r="A22" s="24" t="s">
        <v>296</v>
      </c>
      <c r="B22" s="15" t="s">
        <v>406</v>
      </c>
      <c r="C22" s="19" t="s">
        <v>440</v>
      </c>
      <c r="D22" s="12" t="n">
        <v>1</v>
      </c>
      <c r="E22" s="17" t="n">
        <v>3.6</v>
      </c>
      <c r="F22" s="17" t="n">
        <v>16</v>
      </c>
      <c r="G22" s="13"/>
      <c r="H22" s="12"/>
      <c r="I22" s="12" t="n">
        <f aca="false">E22*G22</f>
        <v>0</v>
      </c>
      <c r="J22" s="13" t="n">
        <f aca="false">F22*H22</f>
        <v>0</v>
      </c>
      <c r="K22" s="11" t="n">
        <f aca="false">D22*I22</f>
        <v>0</v>
      </c>
      <c r="L22" s="11" t="n">
        <f aca="false">J22*D22</f>
        <v>0</v>
      </c>
      <c r="M22" s="11"/>
      <c r="N22" s="11"/>
      <c r="O22" s="11"/>
      <c r="P22" s="11"/>
      <c r="Q22" s="11"/>
    </row>
    <row r="23" customFormat="false" ht="22.5" hidden="false" customHeight="true" outlineLevel="0" collapsed="false">
      <c r="A23" s="11" t="s">
        <v>314</v>
      </c>
      <c r="B23" s="21" t="s">
        <v>441</v>
      </c>
      <c r="C23" s="19" t="s">
        <v>442</v>
      </c>
      <c r="D23" s="25" t="n">
        <v>1</v>
      </c>
      <c r="E23" s="12" t="n">
        <v>2.7</v>
      </c>
      <c r="F23" s="12" t="n">
        <v>3.3</v>
      </c>
      <c r="G23" s="13" t="n">
        <v>72.1</v>
      </c>
      <c r="H23" s="13" t="n">
        <v>72.1</v>
      </c>
      <c r="I23" s="12" t="n">
        <f aca="false">E23*G23</f>
        <v>194.67</v>
      </c>
      <c r="J23" s="13" t="n">
        <f aca="false">F23*H23</f>
        <v>237.93</v>
      </c>
      <c r="K23" s="11" t="n">
        <f aca="false">D23*I23</f>
        <v>194.67</v>
      </c>
      <c r="L23" s="11" t="n">
        <f aca="false">J23*D23</f>
        <v>237.93</v>
      </c>
      <c r="M23" s="11"/>
      <c r="N23" s="11"/>
      <c r="O23" s="11"/>
      <c r="P23" s="11"/>
      <c r="Q23" s="11"/>
    </row>
    <row r="24" customFormat="false" ht="22.5" hidden="false" customHeight="true" outlineLevel="0" collapsed="false">
      <c r="A24" s="11" t="s">
        <v>314</v>
      </c>
      <c r="B24" s="21" t="s">
        <v>443</v>
      </c>
      <c r="C24" s="22"/>
      <c r="D24" s="25" t="n">
        <v>1</v>
      </c>
      <c r="E24" s="12" t="n">
        <v>2.7</v>
      </c>
      <c r="F24" s="12" t="n">
        <v>3.3</v>
      </c>
      <c r="G24" s="13" t="n">
        <v>122.7</v>
      </c>
      <c r="H24" s="13" t="n">
        <v>122.7</v>
      </c>
      <c r="I24" s="12" t="n">
        <f aca="false">E24*G24</f>
        <v>331.29</v>
      </c>
      <c r="J24" s="13" t="n">
        <f aca="false">F24*H24</f>
        <v>404.91</v>
      </c>
      <c r="K24" s="11" t="n">
        <f aca="false">D24*I24</f>
        <v>331.29</v>
      </c>
      <c r="L24" s="11" t="n">
        <f aca="false">J24*D24</f>
        <v>404.91</v>
      </c>
      <c r="M24" s="11"/>
      <c r="N24" s="11"/>
      <c r="O24" s="11"/>
      <c r="P24" s="11"/>
      <c r="Q24" s="11"/>
    </row>
    <row r="25" customFormat="false" ht="22.5" hidden="false" customHeight="true" outlineLevel="0" collapsed="false">
      <c r="A25" s="11" t="s">
        <v>314</v>
      </c>
      <c r="B25" s="21" t="s">
        <v>444</v>
      </c>
      <c r="C25" s="22"/>
      <c r="D25" s="25" t="n">
        <v>1</v>
      </c>
      <c r="E25" s="12" t="n">
        <v>2.7</v>
      </c>
      <c r="F25" s="12" t="n">
        <v>3.3</v>
      </c>
      <c r="G25" s="13" t="n">
        <v>39.4</v>
      </c>
      <c r="H25" s="13" t="n">
        <v>39.4</v>
      </c>
      <c r="I25" s="12" t="n">
        <f aca="false">E25*G25</f>
        <v>106.38</v>
      </c>
      <c r="J25" s="13" t="n">
        <f aca="false">F25*H25</f>
        <v>130.02</v>
      </c>
      <c r="K25" s="11" t="n">
        <f aca="false">D25*I25</f>
        <v>106.38</v>
      </c>
      <c r="L25" s="11" t="n">
        <f aca="false">J25*D25</f>
        <v>130.02</v>
      </c>
      <c r="M25" s="11"/>
      <c r="N25" s="11"/>
      <c r="O25" s="11"/>
      <c r="P25" s="11"/>
      <c r="Q25" s="11"/>
    </row>
    <row r="26" customFormat="false" ht="22.5" hidden="false" customHeight="true" outlineLevel="0" collapsed="false">
      <c r="A26" s="11" t="s">
        <v>314</v>
      </c>
      <c r="B26" s="21" t="s">
        <v>445</v>
      </c>
      <c r="C26" s="23"/>
      <c r="D26" s="25" t="n">
        <v>1</v>
      </c>
      <c r="E26" s="12" t="n">
        <v>2.7</v>
      </c>
      <c r="F26" s="12" t="n">
        <v>3.3</v>
      </c>
      <c r="G26" s="13" t="n">
        <v>71.3</v>
      </c>
      <c r="H26" s="13" t="n">
        <v>71.3</v>
      </c>
      <c r="I26" s="12" t="n">
        <f aca="false">E26*G26</f>
        <v>192.51</v>
      </c>
      <c r="J26" s="13" t="n">
        <f aca="false">F26*H26</f>
        <v>235.29</v>
      </c>
      <c r="K26" s="11" t="n">
        <f aca="false">D26*I26</f>
        <v>192.51</v>
      </c>
      <c r="L26" s="11" t="n">
        <f aca="false">J26*D26</f>
        <v>235.29</v>
      </c>
      <c r="M26" s="11"/>
      <c r="N26" s="11"/>
      <c r="O26" s="11"/>
      <c r="P26" s="11"/>
      <c r="Q26" s="11"/>
    </row>
    <row r="27" customFormat="false" ht="22.5" hidden="false" customHeight="true" outlineLevel="0" collapsed="false">
      <c r="A27" s="15" t="s">
        <v>326</v>
      </c>
      <c r="B27" s="15" t="s">
        <v>446</v>
      </c>
      <c r="C27" s="26" t="s">
        <v>447</v>
      </c>
      <c r="D27" s="12" t="n">
        <v>1</v>
      </c>
      <c r="E27" s="12"/>
      <c r="F27" s="12"/>
      <c r="G27" s="13"/>
      <c r="H27" s="12"/>
      <c r="I27" s="12" t="n">
        <f aca="false">E27*G27</f>
        <v>0</v>
      </c>
      <c r="J27" s="13" t="n">
        <f aca="false">F27*H27</f>
        <v>0</v>
      </c>
      <c r="K27" s="11" t="n">
        <f aca="false">D27*I27</f>
        <v>0</v>
      </c>
      <c r="L27" s="11" t="n">
        <f aca="false">J27*D27</f>
        <v>0</v>
      </c>
      <c r="M27" s="11"/>
      <c r="N27" s="11"/>
      <c r="O27" s="11"/>
      <c r="P27" s="11"/>
      <c r="Q27" s="11"/>
    </row>
    <row r="28" customFormat="false" ht="22.5" hidden="false" customHeight="true" outlineLevel="0" collapsed="false">
      <c r="A28" s="15" t="s">
        <v>318</v>
      </c>
      <c r="B28" s="15" t="s">
        <v>448</v>
      </c>
      <c r="C28" s="14" t="s">
        <v>449</v>
      </c>
      <c r="D28" s="12" t="n">
        <v>1</v>
      </c>
      <c r="E28" s="12" t="n">
        <v>2.7</v>
      </c>
      <c r="F28" s="12" t="n">
        <v>3.3</v>
      </c>
      <c r="G28" s="13" t="n">
        <v>8</v>
      </c>
      <c r="H28" s="12" t="n">
        <v>25</v>
      </c>
      <c r="I28" s="12" t="n">
        <f aca="false">E28*G28</f>
        <v>21.6</v>
      </c>
      <c r="J28" s="13" t="n">
        <f aca="false">F28*H28</f>
        <v>82.5</v>
      </c>
      <c r="K28" s="11" t="n">
        <f aca="false">D28*I28</f>
        <v>21.6</v>
      </c>
      <c r="L28" s="11" t="n">
        <f aca="false">J28*D28</f>
        <v>82.5</v>
      </c>
      <c r="M28" s="11"/>
      <c r="N28" s="11"/>
      <c r="O28" s="11"/>
      <c r="P28" s="11"/>
      <c r="Q28" s="11"/>
    </row>
    <row r="29" customFormat="false" ht="22.5" hidden="false" customHeight="true" outlineLevel="0" collapsed="false">
      <c r="A29" s="27"/>
      <c r="B29" s="27"/>
      <c r="C29" s="27"/>
      <c r="D29" s="28"/>
      <c r="E29" s="28"/>
      <c r="F29" s="28"/>
      <c r="G29" s="29" t="n">
        <f aca="false">SUM(Tabela_3[Minimum supply Current (mA)])</f>
        <v>382.70746</v>
      </c>
      <c r="H29" s="28" t="n">
        <f aca="false">SUM(Tabela_3[Maximum supply Current (mA)])</f>
        <v>680.395</v>
      </c>
      <c r="I29" s="28" t="n">
        <f aca="false">SUM(Tabela_3[Minimum power (mW)])</f>
        <v>935.919482</v>
      </c>
      <c r="J29" s="30" t="n">
        <f aca="false">SUM(Tabela_3[Maximum power (mW)])</f>
        <v>1499.5535</v>
      </c>
      <c r="K29" s="27" t="n">
        <f aca="false">SUM(Tabela_3[Total minimum power (mW)])</f>
        <v>948.650492</v>
      </c>
      <c r="L29" s="27" t="n">
        <f aca="false">SUM(Tabela_3[Total maximum power (mW)])</f>
        <v>1534.6685</v>
      </c>
      <c r="M29" s="27"/>
      <c r="N29" s="27"/>
      <c r="O29" s="27"/>
      <c r="P29" s="27"/>
      <c r="Q29" s="27"/>
    </row>
  </sheetData>
  <dataValidations count="1">
    <dataValidation allowBlank="true" errorStyle="stop" operator="between" showDropDown="true" showErrorMessage="false" showInputMessage="false" sqref="G2:G28 J2:J28" type="custom">
      <formula1>AND(ISNUMBER(G2),(NOT(OR(NOT(ISERROR(DATEVALUE(G2))), AND(ISNUMBER(G2), LEFT(CELL("format", G2))="D")))))</formula1>
      <formula2>0</formula2>
    </dataValidation>
  </dataValidations>
  <hyperlinks>
    <hyperlink ref="C7" r:id="rId2" display="https://www.ti.com/lit/ds/symlink/ina226-q1.pdf?HQS=dis-dk-null-digikeymode-dsf-pf-null-wwe&amp;ts=1787230153927&amp;ref_url=https%253A%252F%252Fwww.ti.com%252Fgeneral%252Fdocs%252Fsuppproductinfo.tsp%253FdistId%253D10%2526gotoUrl%253Dhttps%253A%252F%252Fwww.ti.com%252Flit%252Fgpn%252Fina226-q1"/>
    <hyperlink ref="C8" r:id="rId3" display="https://ww1.microchip.com/downloads/aemDocuments/documents/FPGA/ProductDocuments/DataSheets/PolarFire-SoC-Datasheet-DS00004248.pdf"/>
    <hyperlink ref="C17" r:id="rId4" display="https://www.ti.com/lit/ds/symlink/tlv62569.pdf?HQS=dis-dk-null-digikeymode-dsf-pf-null-wwe&amp;ts=1786371730028&amp;ref_url=https%253A%252F%252Fwww.ti.com%252Fgeneral%252Fdocs%252Fsuppproductinfo.tsp%253FdistId%253D10%2526gotoUrl%253Dhttps%253A%252F%252Fwww.ti.com%252Flit%252Fgpn%252Ftlv62569"/>
    <hyperlink ref="C18" r:id="rId5" display="https://ww1.microchip.com/downloads/en/DeviceDoc/MIC23303.pdf"/>
    <hyperlink ref="C19" r:id="rId6" display="https://br.mouser.com/datasheet/3/282/1/MCP3461_2_4R_Family_Data_Sheet_DS20006404C.pdf"/>
    <hyperlink ref="C22" r:id="rId7" display="https://ww1.microchip.com/downloads/aemDocuments/documents/APID/ProductDocuments/DataSheets/MCP1754-and-MCP1754S-Data-Sheet-DS20002276.pdf"/>
    <hyperlink ref="C23" r:id="rId8" display="https://datasheet.octopart.com/EMMC16G-TB29-PZ90-Kingston-datasheet-180528628.pdf?_gl=1*ha6eta*_gcl_aw*R0NMLjE3ODYzODIyMTMuQ2owS0NRanc3ZVhUQmhEQkFSSXNBS0YtdzQ3V242VF9takNmV0hISTgtTmpadDF0SlBkem9xNVhia2JzNkNsMXJvQW02MlBORElieDMzVWFBdWRtRUFMd193Y0I.*_gcl_au*ODc5NTkyODI5LjE3ODIxNDA4NTg.*_ga*Mzg1OTU3NTIuMTc4MjE0MDg1OA..*_ga_SNYD338KXX*czE3ODYzODIxMDIkbzEkZzEkdDE3ODYzODIyMTQkajU5JGwwJGgw"/>
    <hyperlink ref="C27" r:id="rId9" display="https://datasheet.octopart.com/K4F6E3S4HM-MGCJ-Samsung-datasheet-154195263.pdf?_gl=1*g01j23*_gcl_aw*R0NMLjE3ODYzODc2NjIuQ2owS0NRanc3ZVhUQmhEQkFSSXNBS0YtdzQ3Ul8telUyanlSYlRjTmVTNkE1LWREMm01YUZfMEJhNjN4OTloODlrbnlkN1FzYi1OM05hRWFBa3I4RUFMd193Y0I.*_gcl_au*ODc5NTkyODI5LjE3ODIxNDA4NTg.*_ga*Mzg1OTU3NTIuMTc4MjE0MDg1OA..*_ga_SNYD338KXX*czE3ODYzODc2NjEkbzIkZzAkdDE3ODYzODc2NjQkajU3JGwwJGgw"/>
    <hyperlink ref="C28" r:id="rId10" display="https://mm.digikey.com/Volume0/opasdata/d220001/medias/docus/7161/256_W25Q128JV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1"/>
  <tableParts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4.62"/>
    <col collapsed="false" customWidth="true" hidden="false" outlineLevel="0" max="5" min="5" style="0" width="17.88"/>
    <col collapsed="false" customWidth="true" hidden="false" outlineLevel="0" max="7" min="7" style="0" width="26.13"/>
    <col collapsed="false" customWidth="true" hidden="false" outlineLevel="0" max="8" min="8" style="0" width="23.13"/>
    <col collapsed="false" customWidth="true" hidden="false" outlineLevel="0" max="9" min="9" style="0" width="23.62"/>
    <col collapsed="false" customWidth="true" hidden="false" outlineLevel="0" max="10" min="10" style="0" width="30.24"/>
    <col collapsed="false" customWidth="true" hidden="false" outlineLevel="0" max="11" min="11" style="0" width="25.74"/>
    <col collapsed="false" customWidth="true" hidden="false" outlineLevel="0" max="12" min="12" style="0" width="27"/>
    <col collapsed="false" customWidth="true" hidden="false" outlineLevel="0" max="13" min="13" style="0" width="22.38"/>
  </cols>
  <sheetData>
    <row r="1" customFormat="false" ht="22.5" hidden="false" customHeight="true" outlineLevel="0" collapsed="false">
      <c r="A1" s="1" t="s">
        <v>383</v>
      </c>
      <c r="B1" s="10" t="s">
        <v>1</v>
      </c>
      <c r="C1" s="1" t="s">
        <v>450</v>
      </c>
      <c r="D1" s="1" t="s">
        <v>384</v>
      </c>
      <c r="E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</row>
    <row r="2" customFormat="false" ht="22.5" hidden="false" customHeight="true" outlineLevel="0" collapsed="false">
      <c r="A2" s="2" t="s">
        <v>458</v>
      </c>
      <c r="B2" s="2" t="s">
        <v>387</v>
      </c>
      <c r="C2" s="2" t="n">
        <v>31</v>
      </c>
      <c r="D2" s="2" t="n">
        <v>1</v>
      </c>
      <c r="E2" s="2" t="n">
        <f aca="false">D2*C2</f>
        <v>31</v>
      </c>
      <c r="G2" s="2" t="n">
        <v>3.3</v>
      </c>
      <c r="H2" s="31" t="n">
        <f aca="false">GNSS_OEM[OEM power supply (mW)]/GNSS_OEM[OEM supply voltage (V)]</f>
        <v>545.4545455</v>
      </c>
      <c r="I2" s="2" t="n">
        <v>1800</v>
      </c>
      <c r="J2" s="2" t="n">
        <v>5</v>
      </c>
      <c r="K2" s="2" t="n">
        <v>200</v>
      </c>
      <c r="L2" s="32"/>
    </row>
    <row r="3" customFormat="false" ht="22.5" hidden="false" customHeight="true" outlineLevel="0" collapsed="false">
      <c r="A3" s="2" t="s">
        <v>459</v>
      </c>
      <c r="B3" s="2" t="s">
        <v>459</v>
      </c>
      <c r="C3" s="2" t="n">
        <v>50</v>
      </c>
      <c r="D3" s="2" t="n">
        <v>1</v>
      </c>
      <c r="E3" s="2" t="n">
        <f aca="false">D3*C3</f>
        <v>50</v>
      </c>
    </row>
    <row r="4" customFormat="false" ht="22.5" hidden="false" customHeight="true" outlineLevel="0" collapsed="false">
      <c r="A4" s="33" t="s">
        <v>460</v>
      </c>
      <c r="B4" s="34"/>
      <c r="C4" s="34"/>
      <c r="D4" s="34"/>
      <c r="E4" s="35" t="n">
        <f aca="false">SUM(E2:E3)</f>
        <v>81</v>
      </c>
    </row>
  </sheetData>
  <dataValidations count="1">
    <dataValidation allowBlank="true" errorStyle="stop" operator="between" showDropDown="true" showErrorMessage="false" showInputMessage="false" sqref="H2 L2" type="custom">
      <formula1>AND(ISNUMBER(H2),(NOT(OR(NOT(ISERROR(DATEVALUE(H2))), AND(ISNUMBER(H2), LEFT(CELL("format", H2))="D")))))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2026-10-08T16:28:18Z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